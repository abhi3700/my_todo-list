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autoCompressPictures="0"/>
  <bookViews>
    <workbookView xWindow="-5355" yWindow="-21135" windowWidth="21840" windowHeight="13740" tabRatio="500" activeTab="2"/>
  </bookViews>
  <sheets>
    <sheet name="ASFE1-CP" sheetId="1" r:id="rId1"/>
    <sheet name="_xlwings.conf" sheetId="2" state="hidden" r:id="rId2"/>
    <sheet name="ASFE1-ER" sheetId="4" r:id="rId3"/>
    <sheet name="CP Plot" sheetId="5" r:id="rId4"/>
    <sheet name="ER Plot" sheetId="6" r:id="rId5"/>
    <sheet name="RUN_code" sheetId="3" r:id="rId6"/>
  </sheets>
  <functionGroups/>
  <calcPr calcId="12451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87" i="4"/>
  <c r="J687"/>
  <c r="I687"/>
  <c r="H687"/>
  <c r="G687"/>
  <c r="F687"/>
  <c r="E687"/>
  <c r="D687"/>
  <c r="C687"/>
  <c r="O685"/>
  <c r="N685"/>
  <c r="P685"/>
  <c r="M685"/>
  <c r="Q685"/>
  <c r="L685"/>
  <c r="K684"/>
  <c r="J684"/>
  <c r="I684"/>
  <c r="H684"/>
  <c r="G684"/>
  <c r="F684"/>
  <c r="E684"/>
  <c r="D684"/>
  <c r="C684"/>
  <c r="O682"/>
  <c r="N682"/>
  <c r="P682"/>
  <c r="M682"/>
  <c r="Q682"/>
  <c r="L682"/>
  <c r="K681"/>
  <c r="J681"/>
  <c r="I681"/>
  <c r="H681"/>
  <c r="G681"/>
  <c r="F681"/>
  <c r="E681"/>
  <c r="D681"/>
  <c r="C681"/>
  <c r="O679"/>
  <c r="N679"/>
  <c r="P679"/>
  <c r="M679"/>
  <c r="Q679"/>
  <c r="L679"/>
  <c r="K678"/>
  <c r="J678"/>
  <c r="I678"/>
  <c r="H678"/>
  <c r="G678"/>
  <c r="F678"/>
  <c r="E678"/>
  <c r="D678"/>
  <c r="C678"/>
  <c r="O676"/>
  <c r="N676"/>
  <c r="P676"/>
  <c r="M676"/>
  <c r="Q676"/>
  <c r="L676"/>
  <c r="K675"/>
  <c r="J675"/>
  <c r="I675"/>
  <c r="H675"/>
  <c r="G675"/>
  <c r="F675"/>
  <c r="E675"/>
  <c r="D675"/>
  <c r="C675"/>
  <c r="O673"/>
  <c r="N673"/>
  <c r="P673"/>
  <c r="Q673"/>
  <c r="M673"/>
  <c r="L673"/>
  <c r="K672"/>
  <c r="J672"/>
  <c r="I672"/>
  <c r="H672"/>
  <c r="G672"/>
  <c r="F672"/>
  <c r="E672"/>
  <c r="D672"/>
  <c r="C672"/>
  <c r="O670"/>
  <c r="N670"/>
  <c r="P670"/>
  <c r="M670"/>
  <c r="Q670"/>
  <c r="L670"/>
  <c r="K669"/>
  <c r="J669"/>
  <c r="I669"/>
  <c r="H669"/>
  <c r="G669"/>
  <c r="F669"/>
  <c r="E669"/>
  <c r="D669"/>
  <c r="C669"/>
  <c r="O667"/>
  <c r="N667"/>
  <c r="P667"/>
  <c r="M667"/>
  <c r="Q667"/>
  <c r="L667"/>
  <c r="K666"/>
  <c r="J666"/>
  <c r="I666"/>
  <c r="H666"/>
  <c r="G666"/>
  <c r="F666"/>
  <c r="E666"/>
  <c r="D666"/>
  <c r="C666"/>
  <c r="O664"/>
  <c r="N664"/>
  <c r="P664"/>
  <c r="M664"/>
  <c r="Q664"/>
  <c r="L664"/>
  <c r="K663"/>
  <c r="J663"/>
  <c r="I663"/>
  <c r="H663"/>
  <c r="G663"/>
  <c r="F663"/>
  <c r="E663"/>
  <c r="D663"/>
  <c r="C663"/>
  <c r="O661"/>
  <c r="N661"/>
  <c r="P661"/>
  <c r="M661"/>
  <c r="Q661"/>
  <c r="L661"/>
  <c r="K660"/>
  <c r="J660"/>
  <c r="I660"/>
  <c r="H660"/>
  <c r="G660"/>
  <c r="F660"/>
  <c r="E660"/>
  <c r="D660"/>
  <c r="C660"/>
  <c r="O658"/>
  <c r="N658"/>
  <c r="P658"/>
  <c r="M658"/>
  <c r="Q658"/>
  <c r="L658"/>
  <c r="K657"/>
  <c r="J657"/>
  <c r="I657"/>
  <c r="H657"/>
  <c r="G657"/>
  <c r="F657"/>
  <c r="E657"/>
  <c r="D657"/>
  <c r="C657"/>
  <c r="O655"/>
  <c r="N655"/>
  <c r="P655"/>
  <c r="M655"/>
  <c r="Q655"/>
  <c r="L655"/>
  <c r="K654"/>
  <c r="J654"/>
  <c r="I654"/>
  <c r="H654"/>
  <c r="G654"/>
  <c r="F654"/>
  <c r="E654"/>
  <c r="D654"/>
  <c r="C654"/>
  <c r="O652"/>
  <c r="N652"/>
  <c r="P652"/>
  <c r="M652"/>
  <c r="Q652"/>
  <c r="L652"/>
  <c r="K651"/>
  <c r="J651"/>
  <c r="I651"/>
  <c r="H651"/>
  <c r="G651"/>
  <c r="F651"/>
  <c r="E651"/>
  <c r="D651"/>
  <c r="C651"/>
  <c r="O649"/>
  <c r="N649"/>
  <c r="P649"/>
  <c r="M649"/>
  <c r="Q649"/>
  <c r="L649"/>
  <c r="K648"/>
  <c r="J648"/>
  <c r="I648"/>
  <c r="H648"/>
  <c r="G648"/>
  <c r="F648"/>
  <c r="E648"/>
  <c r="D648"/>
  <c r="C648"/>
  <c r="O646"/>
  <c r="N646"/>
  <c r="P646"/>
  <c r="M646"/>
  <c r="Q646"/>
  <c r="L646"/>
  <c r="K645"/>
  <c r="J645"/>
  <c r="I645"/>
  <c r="H645"/>
  <c r="G645"/>
  <c r="F645"/>
  <c r="E645"/>
  <c r="D645"/>
  <c r="C645"/>
  <c r="O643"/>
  <c r="N643"/>
  <c r="P643"/>
  <c r="M643"/>
  <c r="Q643"/>
  <c r="L643"/>
  <c r="K642"/>
  <c r="J642"/>
  <c r="I642"/>
  <c r="H642"/>
  <c r="G642"/>
  <c r="F642"/>
  <c r="E642"/>
  <c r="D642"/>
  <c r="C642"/>
  <c r="O640"/>
  <c r="N640"/>
  <c r="P640"/>
  <c r="M640"/>
  <c r="Q640"/>
  <c r="L640"/>
  <c r="K639"/>
  <c r="J639"/>
  <c r="I639"/>
  <c r="H639"/>
  <c r="G639"/>
  <c r="F639"/>
  <c r="E639"/>
  <c r="D639"/>
  <c r="C639"/>
  <c r="O637"/>
  <c r="N637"/>
  <c r="P637"/>
  <c r="M637"/>
  <c r="Q637"/>
  <c r="L637"/>
  <c r="K636"/>
  <c r="J636"/>
  <c r="I636"/>
  <c r="H636"/>
  <c r="G636"/>
  <c r="F636"/>
  <c r="E636"/>
  <c r="D636"/>
  <c r="C636"/>
  <c r="O634"/>
  <c r="N634"/>
  <c r="P634"/>
  <c r="M634"/>
  <c r="Q634"/>
  <c r="L634"/>
  <c r="K633"/>
  <c r="J633"/>
  <c r="I633"/>
  <c r="H633"/>
  <c r="G633"/>
  <c r="F633"/>
  <c r="E633"/>
  <c r="D633"/>
  <c r="C633"/>
  <c r="O631"/>
  <c r="N631"/>
  <c r="P631"/>
  <c r="M631"/>
  <c r="Q631"/>
  <c r="L631"/>
  <c r="K630"/>
  <c r="J630"/>
  <c r="I630"/>
  <c r="H630"/>
  <c r="G630"/>
  <c r="F630"/>
  <c r="E630"/>
  <c r="D630"/>
  <c r="C630"/>
  <c r="O628"/>
  <c r="N628"/>
  <c r="P628"/>
  <c r="M628"/>
  <c r="Q628"/>
  <c r="L628"/>
  <c r="K627"/>
  <c r="J627"/>
  <c r="I627"/>
  <c r="H627"/>
  <c r="G627"/>
  <c r="F627"/>
  <c r="E627"/>
  <c r="D627"/>
  <c r="C627"/>
  <c r="O625"/>
  <c r="N625"/>
  <c r="P625"/>
  <c r="M625"/>
  <c r="Q625"/>
  <c r="L625"/>
  <c r="K624"/>
  <c r="J624"/>
  <c r="I624"/>
  <c r="H624"/>
  <c r="G624"/>
  <c r="F624"/>
  <c r="E624"/>
  <c r="D624"/>
  <c r="C624"/>
  <c r="O622"/>
  <c r="N622"/>
  <c r="P622"/>
  <c r="M622"/>
  <c r="Q622"/>
  <c r="L622"/>
  <c r="K621"/>
  <c r="J621"/>
  <c r="I621"/>
  <c r="H621"/>
  <c r="G621"/>
  <c r="F621"/>
  <c r="E621"/>
  <c r="D621"/>
  <c r="C621"/>
  <c r="O619"/>
  <c r="N619"/>
  <c r="P619"/>
  <c r="M619"/>
  <c r="Q619"/>
  <c r="L619"/>
  <c r="K618"/>
  <c r="J618"/>
  <c r="I618"/>
  <c r="H618"/>
  <c r="G618"/>
  <c r="F618"/>
  <c r="E618"/>
  <c r="D618"/>
  <c r="C618"/>
  <c r="O616"/>
  <c r="N616"/>
  <c r="P616"/>
  <c r="M616"/>
  <c r="Q616"/>
  <c r="L616"/>
  <c r="K615"/>
  <c r="J615"/>
  <c r="I615"/>
  <c r="H615"/>
  <c r="G615"/>
  <c r="F615"/>
  <c r="E615"/>
  <c r="D615"/>
  <c r="C615"/>
  <c r="O613"/>
  <c r="N613"/>
  <c r="P613"/>
  <c r="M613"/>
  <c r="Q613"/>
  <c r="L613"/>
  <c r="K612"/>
  <c r="J612"/>
  <c r="I612"/>
  <c r="H612"/>
  <c r="G612"/>
  <c r="F612"/>
  <c r="E612"/>
  <c r="D612"/>
  <c r="C612"/>
  <c r="O610"/>
  <c r="N610"/>
  <c r="P610"/>
  <c r="M610"/>
  <c r="Q610"/>
  <c r="L610"/>
  <c r="K609"/>
  <c r="J609"/>
  <c r="I609"/>
  <c r="H609"/>
  <c r="G609"/>
  <c r="F609"/>
  <c r="E609"/>
  <c r="D609"/>
  <c r="C609"/>
  <c r="O607"/>
  <c r="N607"/>
  <c r="P607"/>
  <c r="M607"/>
  <c r="Q607"/>
  <c r="L607"/>
  <c r="K606"/>
  <c r="J606"/>
  <c r="I606"/>
  <c r="H606"/>
  <c r="G606"/>
  <c r="F606"/>
  <c r="E606"/>
  <c r="D606"/>
  <c r="C606"/>
  <c r="O604"/>
  <c r="N604"/>
  <c r="P604"/>
  <c r="M604"/>
  <c r="Q604"/>
  <c r="L604"/>
  <c r="K603"/>
  <c r="J603"/>
  <c r="I603"/>
  <c r="H603"/>
  <c r="G603"/>
  <c r="F603"/>
  <c r="E603"/>
  <c r="D603"/>
  <c r="C603"/>
  <c r="O601"/>
  <c r="N601"/>
  <c r="P601"/>
  <c r="M601"/>
  <c r="Q601"/>
  <c r="L601"/>
  <c r="K600"/>
  <c r="J600"/>
  <c r="I600"/>
  <c r="H600"/>
  <c r="G600"/>
  <c r="F600"/>
  <c r="E600"/>
  <c r="D600"/>
  <c r="C600"/>
  <c r="O598"/>
  <c r="N598"/>
  <c r="P598"/>
  <c r="M598"/>
  <c r="Q598"/>
  <c r="L598"/>
  <c r="K597"/>
  <c r="J597"/>
  <c r="I597"/>
  <c r="H597"/>
  <c r="G597"/>
  <c r="F597"/>
  <c r="E597"/>
  <c r="D597"/>
  <c r="C597"/>
  <c r="O595"/>
  <c r="N595"/>
  <c r="P595"/>
  <c r="M595"/>
  <c r="Q595"/>
  <c r="L595"/>
  <c r="K594"/>
  <c r="J594"/>
  <c r="I594"/>
  <c r="H594"/>
  <c r="G594"/>
  <c r="F594"/>
  <c r="E594"/>
  <c r="D594"/>
  <c r="C594"/>
  <c r="O592"/>
  <c r="N592"/>
  <c r="P592"/>
  <c r="M592"/>
  <c r="Q592"/>
  <c r="L592"/>
  <c r="K591"/>
  <c r="J591"/>
  <c r="I591"/>
  <c r="H591"/>
  <c r="G591"/>
  <c r="F591"/>
  <c r="E591"/>
  <c r="D591"/>
  <c r="C591"/>
  <c r="O589"/>
  <c r="N589"/>
  <c r="P589"/>
  <c r="M589"/>
  <c r="Q589"/>
  <c r="L589"/>
  <c r="K588"/>
  <c r="J588"/>
  <c r="I588"/>
  <c r="H588"/>
  <c r="G588"/>
  <c r="F588"/>
  <c r="E588"/>
  <c r="D588"/>
  <c r="C588"/>
  <c r="O586"/>
  <c r="N586"/>
  <c r="P586"/>
  <c r="M586"/>
  <c r="Q586"/>
  <c r="L586"/>
  <c r="K585"/>
  <c r="J585"/>
  <c r="I585"/>
  <c r="H585"/>
  <c r="G585"/>
  <c r="F585"/>
  <c r="E585"/>
  <c r="D585"/>
  <c r="C585"/>
  <c r="O583"/>
  <c r="N583"/>
  <c r="P583"/>
  <c r="M583"/>
  <c r="Q583"/>
  <c r="L583"/>
  <c r="K582"/>
  <c r="J582"/>
  <c r="I582"/>
  <c r="H582"/>
  <c r="G582"/>
  <c r="F582"/>
  <c r="E582"/>
  <c r="D582"/>
  <c r="C582"/>
  <c r="O580"/>
  <c r="N580"/>
  <c r="P580"/>
  <c r="M580"/>
  <c r="Q580"/>
  <c r="L580"/>
  <c r="K579"/>
  <c r="J579"/>
  <c r="I579"/>
  <c r="H579"/>
  <c r="G579"/>
  <c r="F579"/>
  <c r="E579"/>
  <c r="D579"/>
  <c r="C579"/>
  <c r="O577"/>
  <c r="N577"/>
  <c r="P577"/>
  <c r="M577"/>
  <c r="Q577"/>
  <c r="L577"/>
  <c r="K576"/>
  <c r="J576"/>
  <c r="I576"/>
  <c r="H576"/>
  <c r="G576"/>
  <c r="F576"/>
  <c r="E576"/>
  <c r="D576"/>
  <c r="C576"/>
  <c r="O574"/>
  <c r="N574"/>
  <c r="P574"/>
  <c r="M574"/>
  <c r="Q574"/>
  <c r="L574"/>
  <c r="K573"/>
  <c r="J573"/>
  <c r="I573"/>
  <c r="H573"/>
  <c r="G573"/>
  <c r="F573"/>
  <c r="E573"/>
  <c r="D573"/>
  <c r="O571"/>
  <c r="N571"/>
  <c r="P571"/>
  <c r="M571"/>
  <c r="Q571"/>
  <c r="L571"/>
  <c r="K570"/>
  <c r="J570"/>
  <c r="I570"/>
  <c r="H570"/>
  <c r="G570"/>
  <c r="F570"/>
  <c r="E570"/>
  <c r="D570"/>
  <c r="C570"/>
  <c r="O568"/>
  <c r="N568"/>
  <c r="P568"/>
  <c r="M568"/>
  <c r="Q568"/>
  <c r="L568"/>
  <c r="K567"/>
  <c r="J567"/>
  <c r="I567"/>
  <c r="H567"/>
  <c r="G567"/>
  <c r="F567"/>
  <c r="E567"/>
  <c r="D567"/>
  <c r="C567"/>
  <c r="O565"/>
  <c r="N565"/>
  <c r="P565"/>
  <c r="M565"/>
  <c r="Q565"/>
  <c r="L565"/>
  <c r="K564"/>
  <c r="J564"/>
  <c r="I564"/>
  <c r="H564"/>
  <c r="G564"/>
  <c r="F564"/>
  <c r="E564"/>
  <c r="D564"/>
  <c r="C564"/>
  <c r="O562"/>
  <c r="N562"/>
  <c r="P562"/>
  <c r="M562"/>
  <c r="Q562"/>
  <c r="L562"/>
  <c r="K561"/>
  <c r="J561"/>
  <c r="I561"/>
  <c r="H561"/>
  <c r="G561"/>
  <c r="F561"/>
  <c r="E561"/>
  <c r="D561"/>
  <c r="C561"/>
  <c r="O559"/>
  <c r="N559"/>
  <c r="P559"/>
  <c r="M559"/>
  <c r="Q559"/>
  <c r="L559"/>
  <c r="K558"/>
  <c r="J558"/>
  <c r="I558"/>
  <c r="H558"/>
  <c r="G558"/>
  <c r="F558"/>
  <c r="E558"/>
  <c r="D558"/>
  <c r="C558"/>
  <c r="O556"/>
  <c r="N556"/>
  <c r="P556"/>
  <c r="M556"/>
  <c r="Q556"/>
  <c r="L556"/>
  <c r="K555"/>
  <c r="J555"/>
  <c r="I555"/>
  <c r="H555"/>
  <c r="G555"/>
  <c r="F555"/>
  <c r="E555"/>
  <c r="D555"/>
  <c r="C555"/>
  <c r="O553"/>
  <c r="N553"/>
  <c r="P553"/>
  <c r="M553"/>
  <c r="Q553"/>
  <c r="L553"/>
  <c r="K552"/>
  <c r="J552"/>
  <c r="I552"/>
  <c r="H552"/>
  <c r="G552"/>
  <c r="F552"/>
  <c r="E552"/>
  <c r="D552"/>
  <c r="C552"/>
  <c r="O550"/>
  <c r="N550"/>
  <c r="P550"/>
  <c r="M550"/>
  <c r="Q550"/>
  <c r="L550"/>
  <c r="K549"/>
  <c r="J549"/>
  <c r="I549"/>
  <c r="H549"/>
  <c r="G549"/>
  <c r="F549"/>
  <c r="E549"/>
  <c r="D549"/>
  <c r="C549"/>
  <c r="O547"/>
  <c r="N547"/>
  <c r="P547"/>
  <c r="M547"/>
  <c r="Q547"/>
  <c r="L547"/>
  <c r="K546"/>
  <c r="J546"/>
  <c r="I546"/>
  <c r="H546"/>
  <c r="G546"/>
  <c r="F546"/>
  <c r="E546"/>
  <c r="D546"/>
  <c r="C546"/>
  <c r="O544"/>
  <c r="N544"/>
  <c r="P544"/>
  <c r="M544"/>
  <c r="Q544"/>
  <c r="L544"/>
  <c r="K543"/>
  <c r="J543"/>
  <c r="I543"/>
  <c r="H543"/>
  <c r="G543"/>
  <c r="F543"/>
  <c r="E543"/>
  <c r="D543"/>
  <c r="C543"/>
  <c r="O541"/>
  <c r="N541"/>
  <c r="P541"/>
  <c r="M541"/>
  <c r="Q541"/>
  <c r="L541"/>
  <c r="K540"/>
  <c r="J540"/>
  <c r="I540"/>
  <c r="H540"/>
  <c r="G540"/>
  <c r="F540"/>
  <c r="E540"/>
  <c r="D540"/>
  <c r="C540"/>
  <c r="O538"/>
  <c r="N538"/>
  <c r="P538"/>
  <c r="M538"/>
  <c r="Q538"/>
  <c r="L538"/>
  <c r="K537"/>
  <c r="J537"/>
  <c r="I537"/>
  <c r="H537"/>
  <c r="G537"/>
  <c r="F537"/>
  <c r="E537"/>
  <c r="D537"/>
  <c r="C537"/>
  <c r="O535"/>
  <c r="N535"/>
  <c r="P535"/>
  <c r="M535"/>
  <c r="Q535"/>
  <c r="L535"/>
  <c r="K534"/>
  <c r="J534"/>
  <c r="I534"/>
  <c r="H534"/>
  <c r="G534"/>
  <c r="F534"/>
  <c r="E534"/>
  <c r="D534"/>
  <c r="C534"/>
  <c r="O532"/>
  <c r="N532"/>
  <c r="P532"/>
  <c r="M532"/>
  <c r="Q532"/>
  <c r="L532"/>
  <c r="K531"/>
  <c r="J531"/>
  <c r="I531"/>
  <c r="H531"/>
  <c r="G531"/>
  <c r="F531"/>
  <c r="E531"/>
  <c r="D531"/>
  <c r="C531"/>
  <c r="O529"/>
  <c r="N529"/>
  <c r="P529"/>
  <c r="M529"/>
  <c r="Q529"/>
  <c r="L529"/>
  <c r="K528"/>
  <c r="J528"/>
  <c r="I528"/>
  <c r="H528"/>
  <c r="G528"/>
  <c r="F528"/>
  <c r="E528"/>
  <c r="D528"/>
  <c r="C528"/>
  <c r="O526"/>
  <c r="N526"/>
  <c r="P526"/>
  <c r="M526"/>
  <c r="Q526"/>
  <c r="L526"/>
  <c r="K525"/>
  <c r="J525"/>
  <c r="I525"/>
  <c r="H525"/>
  <c r="G525"/>
  <c r="F525"/>
  <c r="E525"/>
  <c r="D525"/>
  <c r="C525"/>
  <c r="M523"/>
  <c r="N523"/>
  <c r="Q523"/>
  <c r="O523"/>
  <c r="L523"/>
  <c r="K522"/>
  <c r="J522"/>
  <c r="I522"/>
  <c r="H522"/>
  <c r="G522"/>
  <c r="F522"/>
  <c r="E522"/>
  <c r="D522"/>
  <c r="C522"/>
  <c r="O520"/>
  <c r="N520"/>
  <c r="P520"/>
  <c r="M520"/>
  <c r="Q520"/>
  <c r="L520"/>
  <c r="K519"/>
  <c r="J519"/>
  <c r="I519"/>
  <c r="H519"/>
  <c r="G519"/>
  <c r="F519"/>
  <c r="E519"/>
  <c r="D519"/>
  <c r="C519"/>
  <c r="O517"/>
  <c r="N517"/>
  <c r="P517"/>
  <c r="M517"/>
  <c r="Q517"/>
  <c r="L517"/>
  <c r="K516"/>
  <c r="J516"/>
  <c r="I516"/>
  <c r="H516"/>
  <c r="G516"/>
  <c r="F516"/>
  <c r="E516"/>
  <c r="D516"/>
  <c r="C516"/>
  <c r="O514"/>
  <c r="N514"/>
  <c r="P514"/>
  <c r="M514"/>
  <c r="Q514"/>
  <c r="L514"/>
  <c r="K513"/>
  <c r="J513"/>
  <c r="I513"/>
  <c r="H513"/>
  <c r="G513"/>
  <c r="F513"/>
  <c r="E513"/>
  <c r="D513"/>
  <c r="C513"/>
  <c r="O511"/>
  <c r="N511"/>
  <c r="P511"/>
  <c r="M511"/>
  <c r="Q511"/>
  <c r="L511"/>
  <c r="K510"/>
  <c r="J510"/>
  <c r="I510"/>
  <c r="H510"/>
  <c r="G510"/>
  <c r="F510"/>
  <c r="E510"/>
  <c r="D510"/>
  <c r="C510"/>
  <c r="O508"/>
  <c r="N508"/>
  <c r="P508"/>
  <c r="M508"/>
  <c r="Q508"/>
  <c r="L508"/>
  <c r="K507"/>
  <c r="J507"/>
  <c r="I507"/>
  <c r="H507"/>
  <c r="G507"/>
  <c r="F507"/>
  <c r="E507"/>
  <c r="D507"/>
  <c r="C507"/>
  <c r="O505"/>
  <c r="N505"/>
  <c r="P505"/>
  <c r="M505"/>
  <c r="Q505"/>
  <c r="L505"/>
  <c r="K504"/>
  <c r="J504"/>
  <c r="I504"/>
  <c r="H504"/>
  <c r="G504"/>
  <c r="F504"/>
  <c r="E504"/>
  <c r="D504"/>
  <c r="C504"/>
  <c r="O502"/>
  <c r="N502"/>
  <c r="P502"/>
  <c r="M502"/>
  <c r="Q502"/>
  <c r="L502"/>
  <c r="K501"/>
  <c r="J501"/>
  <c r="I501"/>
  <c r="H501"/>
  <c r="G501"/>
  <c r="F501"/>
  <c r="E501"/>
  <c r="D501"/>
  <c r="C501"/>
  <c r="O499"/>
  <c r="N499"/>
  <c r="P499"/>
  <c r="M499"/>
  <c r="Q499"/>
  <c r="L499"/>
  <c r="K498"/>
  <c r="J498"/>
  <c r="I498"/>
  <c r="H498"/>
  <c r="G498"/>
  <c r="F498"/>
  <c r="E498"/>
  <c r="D498"/>
  <c r="C498"/>
  <c r="O496"/>
  <c r="N496"/>
  <c r="P496"/>
  <c r="M496"/>
  <c r="Q496"/>
  <c r="L496"/>
  <c r="K495"/>
  <c r="J495"/>
  <c r="I495"/>
  <c r="H495"/>
  <c r="G495"/>
  <c r="F495"/>
  <c r="E495"/>
  <c r="D495"/>
  <c r="C495"/>
  <c r="O493"/>
  <c r="N493"/>
  <c r="P493"/>
  <c r="Q493"/>
  <c r="M493"/>
  <c r="L493"/>
  <c r="K492"/>
  <c r="J492"/>
  <c r="I492"/>
  <c r="H492"/>
  <c r="G492"/>
  <c r="F492"/>
  <c r="E492"/>
  <c r="D492"/>
  <c r="C492"/>
  <c r="O490"/>
  <c r="N490"/>
  <c r="P490"/>
  <c r="Q490"/>
  <c r="M490"/>
  <c r="L490"/>
  <c r="K489"/>
  <c r="J489"/>
  <c r="I489"/>
  <c r="H489"/>
  <c r="G489"/>
  <c r="F489"/>
  <c r="E489"/>
  <c r="D489"/>
  <c r="C489"/>
  <c r="O487"/>
  <c r="N487"/>
  <c r="P487"/>
  <c r="Q487"/>
  <c r="M487"/>
  <c r="L487"/>
  <c r="K486"/>
  <c r="J486"/>
  <c r="I486"/>
  <c r="H486"/>
  <c r="G486"/>
  <c r="F486"/>
  <c r="E486"/>
  <c r="D486"/>
  <c r="C486"/>
  <c r="O484"/>
  <c r="N484"/>
  <c r="P484"/>
  <c r="Q484"/>
  <c r="M484"/>
  <c r="L484"/>
  <c r="K483"/>
  <c r="J483"/>
  <c r="I483"/>
  <c r="H483"/>
  <c r="G483"/>
  <c r="F483"/>
  <c r="E483"/>
  <c r="D483"/>
  <c r="C483"/>
  <c r="O481"/>
  <c r="N481"/>
  <c r="P481"/>
  <c r="Q481"/>
  <c r="M481"/>
  <c r="L481"/>
  <c r="K480"/>
  <c r="J480"/>
  <c r="I480"/>
  <c r="H480"/>
  <c r="G480"/>
  <c r="F480"/>
  <c r="E480"/>
  <c r="D480"/>
  <c r="C480"/>
  <c r="O478"/>
  <c r="N478"/>
  <c r="P478"/>
  <c r="Q478"/>
  <c r="M478"/>
  <c r="L478"/>
  <c r="K477"/>
  <c r="J477"/>
  <c r="I477"/>
  <c r="H477"/>
  <c r="G477"/>
  <c r="F477"/>
  <c r="E477"/>
  <c r="D477"/>
  <c r="C477"/>
  <c r="O475"/>
  <c r="N475"/>
  <c r="P475"/>
  <c r="Q475"/>
  <c r="M475"/>
  <c r="L475"/>
  <c r="K474"/>
  <c r="J474"/>
  <c r="I474"/>
  <c r="H474"/>
  <c r="G474"/>
  <c r="F474"/>
  <c r="E474"/>
  <c r="D474"/>
  <c r="C474"/>
  <c r="O472"/>
  <c r="N472"/>
  <c r="P472"/>
  <c r="Q472"/>
  <c r="M472"/>
  <c r="L472"/>
  <c r="K471"/>
  <c r="J471"/>
  <c r="I471"/>
  <c r="H471"/>
  <c r="G471"/>
  <c r="F471"/>
  <c r="E471"/>
  <c r="D471"/>
  <c r="C471"/>
  <c r="O469"/>
  <c r="N469"/>
  <c r="P469"/>
  <c r="Q469"/>
  <c r="M469"/>
  <c r="L469"/>
  <c r="K468"/>
  <c r="J468"/>
  <c r="I468"/>
  <c r="H468"/>
  <c r="G468"/>
  <c r="F468"/>
  <c r="E468"/>
  <c r="D468"/>
  <c r="C468"/>
  <c r="O466"/>
  <c r="N466"/>
  <c r="P466"/>
  <c r="Q466"/>
  <c r="M466"/>
  <c r="L466"/>
  <c r="K465"/>
  <c r="J465"/>
  <c r="I465"/>
  <c r="H465"/>
  <c r="G465"/>
  <c r="F465"/>
  <c r="E465"/>
  <c r="D465"/>
  <c r="C465"/>
  <c r="O463"/>
  <c r="N463"/>
  <c r="P463"/>
  <c r="Q463"/>
  <c r="M463"/>
  <c r="L463"/>
  <c r="K462"/>
  <c r="J462"/>
  <c r="I462"/>
  <c r="H462"/>
  <c r="G462"/>
  <c r="F462"/>
  <c r="E462"/>
  <c r="D462"/>
  <c r="C462"/>
  <c r="O460"/>
  <c r="N460"/>
  <c r="P460"/>
  <c r="Q460"/>
  <c r="M460"/>
  <c r="L460"/>
  <c r="K459"/>
  <c r="J459"/>
  <c r="I459"/>
  <c r="H459"/>
  <c r="G459"/>
  <c r="F459"/>
  <c r="E459"/>
  <c r="D459"/>
  <c r="C459"/>
  <c r="O457"/>
  <c r="N457"/>
  <c r="P457"/>
  <c r="Q457"/>
  <c r="M457"/>
  <c r="L457"/>
  <c r="K456"/>
  <c r="J456"/>
  <c r="I456"/>
  <c r="H456"/>
  <c r="G456"/>
  <c r="F456"/>
  <c r="E456"/>
  <c r="D456"/>
  <c r="C456"/>
  <c r="O454"/>
  <c r="N454"/>
  <c r="P454"/>
  <c r="Q454"/>
  <c r="M454"/>
  <c r="L454"/>
  <c r="K453"/>
  <c r="J453"/>
  <c r="I453"/>
  <c r="H453"/>
  <c r="G453"/>
  <c r="F453"/>
  <c r="E453"/>
  <c r="D453"/>
  <c r="C453"/>
  <c r="O451"/>
  <c r="N451"/>
  <c r="P451"/>
  <c r="Q451"/>
  <c r="M451"/>
  <c r="L451"/>
  <c r="K450"/>
  <c r="J450"/>
  <c r="I450"/>
  <c r="H450"/>
  <c r="G450"/>
  <c r="F450"/>
  <c r="E450"/>
  <c r="D450"/>
  <c r="C450"/>
  <c r="O448"/>
  <c r="N448"/>
  <c r="P448"/>
  <c r="Q448"/>
  <c r="M448"/>
  <c r="L448"/>
  <c r="K447"/>
  <c r="J447"/>
  <c r="I447"/>
  <c r="H447"/>
  <c r="G447"/>
  <c r="F447"/>
  <c r="E447"/>
  <c r="D447"/>
  <c r="C447"/>
  <c r="O445"/>
  <c r="N445"/>
  <c r="P445"/>
  <c r="Q445"/>
  <c r="M445"/>
  <c r="L445"/>
  <c r="K444"/>
  <c r="J444"/>
  <c r="I444"/>
  <c r="H444"/>
  <c r="G444"/>
  <c r="F444"/>
  <c r="E444"/>
  <c r="D444"/>
  <c r="C444"/>
  <c r="O442"/>
  <c r="N442"/>
  <c r="P442"/>
  <c r="Q442"/>
  <c r="M442"/>
  <c r="L442"/>
  <c r="K441"/>
  <c r="J441"/>
  <c r="I441"/>
  <c r="H441"/>
  <c r="G441"/>
  <c r="F441"/>
  <c r="E441"/>
  <c r="D441"/>
  <c r="C441"/>
  <c r="O439"/>
  <c r="N439"/>
  <c r="P439"/>
  <c r="Q439"/>
  <c r="M439"/>
  <c r="L439"/>
  <c r="K438"/>
  <c r="J438"/>
  <c r="I438"/>
  <c r="H438"/>
  <c r="G438"/>
  <c r="F438"/>
  <c r="E438"/>
  <c r="D438"/>
  <c r="C438"/>
  <c r="O436"/>
  <c r="N436"/>
  <c r="P436"/>
  <c r="Q436"/>
  <c r="M436"/>
  <c r="L436"/>
  <c r="K435"/>
  <c r="J435"/>
  <c r="I435"/>
  <c r="H435"/>
  <c r="G435"/>
  <c r="F435"/>
  <c r="E435"/>
  <c r="D435"/>
  <c r="C435"/>
  <c r="O433"/>
  <c r="N433"/>
  <c r="P433"/>
  <c r="Q433"/>
  <c r="M433"/>
  <c r="L433"/>
  <c r="K432"/>
  <c r="J432"/>
  <c r="I432"/>
  <c r="H432"/>
  <c r="G432"/>
  <c r="F432"/>
  <c r="E432"/>
  <c r="D432"/>
  <c r="C432"/>
  <c r="O430"/>
  <c r="N430"/>
  <c r="P430"/>
  <c r="Q430"/>
  <c r="M430"/>
  <c r="L430"/>
  <c r="K429"/>
  <c r="J429"/>
  <c r="I429"/>
  <c r="H429"/>
  <c r="G429"/>
  <c r="F429"/>
  <c r="E429"/>
  <c r="D429"/>
  <c r="C429"/>
  <c r="O427"/>
  <c r="N427"/>
  <c r="P427"/>
  <c r="Q427"/>
  <c r="M427"/>
  <c r="L427"/>
  <c r="K426"/>
  <c r="J426"/>
  <c r="I426"/>
  <c r="H426"/>
  <c r="G426"/>
  <c r="F426"/>
  <c r="E426"/>
  <c r="D426"/>
  <c r="C426"/>
  <c r="O424"/>
  <c r="N424"/>
  <c r="P424"/>
  <c r="Q424"/>
  <c r="M424"/>
  <c r="L424"/>
  <c r="K423"/>
  <c r="J423"/>
  <c r="I423"/>
  <c r="H423"/>
  <c r="G423"/>
  <c r="F423"/>
  <c r="E423"/>
  <c r="D423"/>
  <c r="C423"/>
  <c r="O421"/>
  <c r="N421"/>
  <c r="P421"/>
  <c r="Q421"/>
  <c r="M421"/>
  <c r="L421"/>
  <c r="K420"/>
  <c r="J420"/>
  <c r="I420"/>
  <c r="H420"/>
  <c r="G420"/>
  <c r="F420"/>
  <c r="E420"/>
  <c r="D420"/>
  <c r="C420"/>
  <c r="O418"/>
  <c r="N418"/>
  <c r="P418"/>
  <c r="Q418"/>
  <c r="M418"/>
  <c r="L418"/>
  <c r="K417"/>
  <c r="J417"/>
  <c r="I417"/>
  <c r="H417"/>
  <c r="G417"/>
  <c r="F417"/>
  <c r="E417"/>
  <c r="D417"/>
  <c r="C417"/>
  <c r="O415"/>
  <c r="N415"/>
  <c r="P415"/>
  <c r="Q415"/>
  <c r="M415"/>
  <c r="L415"/>
  <c r="K414"/>
  <c r="J414"/>
  <c r="I414"/>
  <c r="H414"/>
  <c r="G414"/>
  <c r="F414"/>
  <c r="E414"/>
  <c r="D414"/>
  <c r="C414"/>
  <c r="O412"/>
  <c r="N412"/>
  <c r="P412"/>
  <c r="Q412"/>
  <c r="M412"/>
  <c r="L412"/>
  <c r="K411"/>
  <c r="J411"/>
  <c r="I411"/>
  <c r="H411"/>
  <c r="G411"/>
  <c r="F411"/>
  <c r="E411"/>
  <c r="D411"/>
  <c r="C411"/>
  <c r="O409"/>
  <c r="N409"/>
  <c r="P409"/>
  <c r="Q409"/>
  <c r="M409"/>
  <c r="L409"/>
  <c r="K408"/>
  <c r="J408"/>
  <c r="I408"/>
  <c r="H408"/>
  <c r="G408"/>
  <c r="F408"/>
  <c r="E408"/>
  <c r="D408"/>
  <c r="C408"/>
  <c r="O406"/>
  <c r="N406"/>
  <c r="P406"/>
  <c r="Q406"/>
  <c r="M406"/>
  <c r="L406"/>
  <c r="K405"/>
  <c r="J405"/>
  <c r="I405"/>
  <c r="H405"/>
  <c r="G405"/>
  <c r="F405"/>
  <c r="E405"/>
  <c r="D405"/>
  <c r="C405"/>
  <c r="O403"/>
  <c r="N403"/>
  <c r="P403"/>
  <c r="Q403"/>
  <c r="M403"/>
  <c r="L403"/>
  <c r="K402"/>
  <c r="J402"/>
  <c r="I402"/>
  <c r="H402"/>
  <c r="G402"/>
  <c r="F402"/>
  <c r="E402"/>
  <c r="D402"/>
  <c r="C402"/>
  <c r="O400"/>
  <c r="N400"/>
  <c r="P400"/>
  <c r="Q400"/>
  <c r="M400"/>
  <c r="L400"/>
  <c r="K399"/>
  <c r="J399"/>
  <c r="I399"/>
  <c r="H399"/>
  <c r="G399"/>
  <c r="F399"/>
  <c r="E399"/>
  <c r="D399"/>
  <c r="C399"/>
  <c r="O397"/>
  <c r="N397"/>
  <c r="P397"/>
  <c r="Q397"/>
  <c r="M397"/>
  <c r="L397"/>
  <c r="K396"/>
  <c r="J396"/>
  <c r="I396"/>
  <c r="H396"/>
  <c r="G396"/>
  <c r="F396"/>
  <c r="E396"/>
  <c r="D396"/>
  <c r="C396"/>
  <c r="O394"/>
  <c r="N394"/>
  <c r="P394"/>
  <c r="Q394"/>
  <c r="M394"/>
  <c r="L394"/>
  <c r="K393"/>
  <c r="J393"/>
  <c r="I393"/>
  <c r="H393"/>
  <c r="G393"/>
  <c r="F393"/>
  <c r="E393"/>
  <c r="D393"/>
  <c r="C393"/>
  <c r="O391"/>
  <c r="N391"/>
  <c r="P391"/>
  <c r="Q391"/>
  <c r="M391"/>
  <c r="L391"/>
  <c r="K390"/>
  <c r="J390"/>
  <c r="I390"/>
  <c r="H390"/>
  <c r="G390"/>
  <c r="F390"/>
  <c r="E390"/>
  <c r="D390"/>
  <c r="C390"/>
  <c r="O388"/>
  <c r="N388"/>
  <c r="P388"/>
  <c r="Q388"/>
  <c r="M388"/>
  <c r="L388"/>
  <c r="K387"/>
  <c r="J387"/>
  <c r="I387"/>
  <c r="H387"/>
  <c r="G387"/>
  <c r="F387"/>
  <c r="E387"/>
  <c r="D387"/>
  <c r="C387"/>
  <c r="O385"/>
  <c r="N385"/>
  <c r="P385"/>
  <c r="Q385"/>
  <c r="M385"/>
  <c r="L385"/>
  <c r="K384"/>
  <c r="J384"/>
  <c r="I384"/>
  <c r="H384"/>
  <c r="G384"/>
  <c r="F384"/>
  <c r="E384"/>
  <c r="D384"/>
  <c r="C384"/>
  <c r="O382"/>
  <c r="N382"/>
  <c r="P382"/>
  <c r="Q382"/>
  <c r="M382"/>
  <c r="L382"/>
  <c r="K381"/>
  <c r="J381"/>
  <c r="I381"/>
  <c r="H381"/>
  <c r="G381"/>
  <c r="F381"/>
  <c r="E381"/>
  <c r="D381"/>
  <c r="C381"/>
  <c r="O379"/>
  <c r="N379"/>
  <c r="P379"/>
  <c r="Q379"/>
  <c r="M379"/>
  <c r="L379"/>
  <c r="K378"/>
  <c r="J378"/>
  <c r="I378"/>
  <c r="H378"/>
  <c r="G378"/>
  <c r="F378"/>
  <c r="E378"/>
  <c r="D378"/>
  <c r="C378"/>
  <c r="O376"/>
  <c r="N376"/>
  <c r="P376"/>
  <c r="Q376"/>
  <c r="M376"/>
  <c r="L376"/>
  <c r="K375"/>
  <c r="J375"/>
  <c r="I375"/>
  <c r="H375"/>
  <c r="G375"/>
  <c r="F375"/>
  <c r="E375"/>
  <c r="D375"/>
  <c r="C375"/>
  <c r="O373"/>
  <c r="N373"/>
  <c r="P373"/>
  <c r="Q373"/>
  <c r="M373"/>
  <c r="L373"/>
  <c r="K372"/>
  <c r="J372"/>
  <c r="I372"/>
  <c r="H372"/>
  <c r="G372"/>
  <c r="F372"/>
  <c r="E372"/>
  <c r="D372"/>
  <c r="C372"/>
  <c r="O370"/>
  <c r="N370"/>
  <c r="P370"/>
  <c r="Q370"/>
  <c r="M370"/>
  <c r="L370"/>
  <c r="K369"/>
  <c r="J369"/>
  <c r="I369"/>
  <c r="H369"/>
  <c r="G369"/>
  <c r="F369"/>
  <c r="E369"/>
  <c r="D369"/>
  <c r="C369"/>
  <c r="O367"/>
  <c r="N367"/>
  <c r="P367"/>
  <c r="Q367"/>
  <c r="M367"/>
  <c r="L367"/>
  <c r="K366"/>
  <c r="J366"/>
  <c r="I366"/>
  <c r="H366"/>
  <c r="G366"/>
  <c r="F366"/>
  <c r="E366"/>
  <c r="D366"/>
  <c r="C366"/>
  <c r="O364"/>
  <c r="N364"/>
  <c r="P364"/>
  <c r="Q364"/>
  <c r="M364"/>
  <c r="L364"/>
  <c r="K363"/>
  <c r="J363"/>
  <c r="I363"/>
  <c r="H363"/>
  <c r="G363"/>
  <c r="F363"/>
  <c r="E363"/>
  <c r="D363"/>
  <c r="C363"/>
  <c r="O361"/>
  <c r="N361"/>
  <c r="P361"/>
  <c r="Q361"/>
  <c r="M361"/>
  <c r="L361"/>
  <c r="K360"/>
  <c r="J360"/>
  <c r="I360"/>
  <c r="H360"/>
  <c r="G360"/>
  <c r="F360"/>
  <c r="E360"/>
  <c r="D360"/>
  <c r="C360"/>
  <c r="O358"/>
  <c r="N358"/>
  <c r="P358"/>
  <c r="Q358"/>
  <c r="M358"/>
  <c r="L358"/>
  <c r="K357"/>
  <c r="J357"/>
  <c r="I357"/>
  <c r="H357"/>
  <c r="G357"/>
  <c r="F357"/>
  <c r="E357"/>
  <c r="D357"/>
  <c r="C357"/>
  <c r="O355"/>
  <c r="N355"/>
  <c r="P355"/>
  <c r="Q355"/>
  <c r="M355"/>
  <c r="L355"/>
  <c r="K354"/>
  <c r="J354"/>
  <c r="I354"/>
  <c r="H354"/>
  <c r="G354"/>
  <c r="F354"/>
  <c r="E354"/>
  <c r="D354"/>
  <c r="C354"/>
  <c r="O352"/>
  <c r="N352"/>
  <c r="P352"/>
  <c r="Q352"/>
  <c r="M352"/>
  <c r="L352"/>
  <c r="K351"/>
  <c r="J351"/>
  <c r="I351"/>
  <c r="H351"/>
  <c r="G351"/>
  <c r="F351"/>
  <c r="E351"/>
  <c r="D351"/>
  <c r="C351"/>
  <c r="O349"/>
  <c r="N349"/>
  <c r="P349"/>
  <c r="Q349"/>
  <c r="M349"/>
  <c r="L349"/>
  <c r="K348"/>
  <c r="J348"/>
  <c r="I348"/>
  <c r="H348"/>
  <c r="G348"/>
  <c r="F348"/>
  <c r="E348"/>
  <c r="D348"/>
  <c r="C348"/>
  <c r="O346"/>
  <c r="N346"/>
  <c r="P346"/>
  <c r="Q346"/>
  <c r="M346"/>
  <c r="L346"/>
  <c r="K345"/>
  <c r="J345"/>
  <c r="I345"/>
  <c r="H345"/>
  <c r="G345"/>
  <c r="F345"/>
  <c r="E345"/>
  <c r="D345"/>
  <c r="C345"/>
  <c r="O343"/>
  <c r="N343"/>
  <c r="P343"/>
  <c r="Q343"/>
  <c r="M343"/>
  <c r="L343"/>
  <c r="K342"/>
  <c r="J342"/>
  <c r="I342"/>
  <c r="H342"/>
  <c r="G342"/>
  <c r="F342"/>
  <c r="E342"/>
  <c r="D342"/>
  <c r="C342"/>
  <c r="O340"/>
  <c r="N340"/>
  <c r="P340"/>
  <c r="Q340"/>
  <c r="M340"/>
  <c r="L340"/>
  <c r="K339"/>
  <c r="J339"/>
  <c r="I339"/>
  <c r="H339"/>
  <c r="G339"/>
  <c r="F339"/>
  <c r="E339"/>
  <c r="D339"/>
  <c r="C339"/>
  <c r="O337"/>
  <c r="N337"/>
  <c r="P337"/>
  <c r="Q337"/>
  <c r="M337"/>
  <c r="L337"/>
  <c r="K336"/>
  <c r="J336"/>
  <c r="I336"/>
  <c r="H336"/>
  <c r="G336"/>
  <c r="F336"/>
  <c r="E336"/>
  <c r="D336"/>
  <c r="C336"/>
  <c r="O334"/>
  <c r="N334"/>
  <c r="P334"/>
  <c r="Q334"/>
  <c r="M334"/>
  <c r="L334"/>
  <c r="K333"/>
  <c r="J333"/>
  <c r="I333"/>
  <c r="H333"/>
  <c r="G333"/>
  <c r="F333"/>
  <c r="E333"/>
  <c r="D333"/>
  <c r="C333"/>
  <c r="O331"/>
  <c r="N331"/>
  <c r="P331"/>
  <c r="Q331"/>
  <c r="M331"/>
  <c r="L331"/>
  <c r="K330"/>
  <c r="J330"/>
  <c r="I330"/>
  <c r="H330"/>
  <c r="G330"/>
  <c r="F330"/>
  <c r="E330"/>
  <c r="D330"/>
  <c r="C330"/>
  <c r="O328"/>
  <c r="N328"/>
  <c r="P328"/>
  <c r="Q328"/>
  <c r="M328"/>
  <c r="L328"/>
  <c r="K327"/>
  <c r="J327"/>
  <c r="I327"/>
  <c r="H327"/>
  <c r="G327"/>
  <c r="F327"/>
  <c r="E327"/>
  <c r="D327"/>
  <c r="C327"/>
  <c r="O325"/>
  <c r="N325"/>
  <c r="P325"/>
  <c r="Q325"/>
  <c r="M325"/>
  <c r="L325"/>
  <c r="K324"/>
  <c r="J324"/>
  <c r="I324"/>
  <c r="H324"/>
  <c r="G324"/>
  <c r="F324"/>
  <c r="E324"/>
  <c r="D324"/>
  <c r="C324"/>
  <c r="O322"/>
  <c r="N322"/>
  <c r="P322"/>
  <c r="Q322"/>
  <c r="M322"/>
  <c r="L322"/>
  <c r="K321"/>
  <c r="J321"/>
  <c r="I321"/>
  <c r="H321"/>
  <c r="G321"/>
  <c r="F321"/>
  <c r="E321"/>
  <c r="D321"/>
  <c r="C321"/>
  <c r="O319"/>
  <c r="N319"/>
  <c r="P319"/>
  <c r="Q319"/>
  <c r="M319"/>
  <c r="L319"/>
  <c r="K318"/>
  <c r="J318"/>
  <c r="I318"/>
  <c r="H318"/>
  <c r="G318"/>
  <c r="F318"/>
  <c r="E318"/>
  <c r="D318"/>
  <c r="C318"/>
  <c r="O316"/>
  <c r="N316"/>
  <c r="P316"/>
  <c r="Q316"/>
  <c r="M316"/>
  <c r="L316"/>
  <c r="K315"/>
  <c r="J315"/>
  <c r="I315"/>
  <c r="H315"/>
  <c r="G315"/>
  <c r="F315"/>
  <c r="E315"/>
  <c r="D315"/>
  <c r="C315"/>
  <c r="O313"/>
  <c r="N313"/>
  <c r="P313"/>
  <c r="Q313"/>
  <c r="M313"/>
  <c r="L313"/>
  <c r="K312"/>
  <c r="J312"/>
  <c r="I312"/>
  <c r="H312"/>
  <c r="G312"/>
  <c r="F312"/>
  <c r="E312"/>
  <c r="D312"/>
  <c r="C312"/>
  <c r="O310"/>
  <c r="N310"/>
  <c r="P310"/>
  <c r="Q310"/>
  <c r="M310"/>
  <c r="L310"/>
  <c r="K309"/>
  <c r="J309"/>
  <c r="I309"/>
  <c r="H309"/>
  <c r="G309"/>
  <c r="F309"/>
  <c r="E309"/>
  <c r="D309"/>
  <c r="C309"/>
  <c r="O307"/>
  <c r="N307"/>
  <c r="P307"/>
  <c r="Q307"/>
  <c r="M307"/>
  <c r="L307"/>
  <c r="K306"/>
  <c r="J306"/>
  <c r="I306"/>
  <c r="H306"/>
  <c r="G306"/>
  <c r="F306"/>
  <c r="E306"/>
  <c r="D306"/>
  <c r="C306"/>
  <c r="O304"/>
  <c r="N304"/>
  <c r="P304"/>
  <c r="Q304"/>
  <c r="M304"/>
  <c r="L304"/>
  <c r="K303"/>
  <c r="J303"/>
  <c r="I303"/>
  <c r="H303"/>
  <c r="G303"/>
  <c r="F303"/>
  <c r="E303"/>
  <c r="D303"/>
  <c r="C303"/>
  <c r="O301"/>
  <c r="N301"/>
  <c r="P301"/>
  <c r="Q301"/>
  <c r="M301"/>
  <c r="L301"/>
  <c r="K300"/>
  <c r="J300"/>
  <c r="I300"/>
  <c r="H300"/>
  <c r="G300"/>
  <c r="F300"/>
  <c r="E300"/>
  <c r="D300"/>
  <c r="C300"/>
  <c r="O298"/>
  <c r="N298"/>
  <c r="P298"/>
  <c r="Q298"/>
  <c r="M298"/>
  <c r="L298"/>
  <c r="K297"/>
  <c r="J297"/>
  <c r="I297"/>
  <c r="H297"/>
  <c r="G297"/>
  <c r="F297"/>
  <c r="E297"/>
  <c r="D297"/>
  <c r="C297"/>
  <c r="O295"/>
  <c r="N295"/>
  <c r="P295"/>
  <c r="Q295"/>
  <c r="M295"/>
  <c r="L295"/>
  <c r="K294"/>
  <c r="J294"/>
  <c r="I294"/>
  <c r="H294"/>
  <c r="G294"/>
  <c r="F294"/>
  <c r="E294"/>
  <c r="D294"/>
  <c r="C294"/>
  <c r="O292"/>
  <c r="N292"/>
  <c r="P292"/>
  <c r="Q292"/>
  <c r="M292"/>
  <c r="L292"/>
  <c r="K291"/>
  <c r="J291"/>
  <c r="I291"/>
  <c r="H291"/>
  <c r="G291"/>
  <c r="F291"/>
  <c r="E291"/>
  <c r="D291"/>
  <c r="C291"/>
  <c r="O289"/>
  <c r="N289"/>
  <c r="P289"/>
  <c r="Q289"/>
  <c r="M289"/>
  <c r="L289"/>
  <c r="K288"/>
  <c r="J288"/>
  <c r="I288"/>
  <c r="H288"/>
  <c r="G288"/>
  <c r="F288"/>
  <c r="E288"/>
  <c r="D288"/>
  <c r="C288"/>
  <c r="O286"/>
  <c r="N286"/>
  <c r="P286"/>
  <c r="Q286"/>
  <c r="M286"/>
  <c r="L286"/>
  <c r="K285"/>
  <c r="J285"/>
  <c r="I285"/>
  <c r="H285"/>
  <c r="G285"/>
  <c r="F285"/>
  <c r="E285"/>
  <c r="D285"/>
  <c r="C285"/>
  <c r="O283"/>
  <c r="N283"/>
  <c r="P283"/>
  <c r="Q283"/>
  <c r="M283"/>
  <c r="L283"/>
  <c r="K282"/>
  <c r="J282"/>
  <c r="I282"/>
  <c r="H282"/>
  <c r="G282"/>
  <c r="F282"/>
  <c r="E282"/>
  <c r="D282"/>
  <c r="C282"/>
  <c r="O280"/>
  <c r="N280"/>
  <c r="P280"/>
  <c r="Q280"/>
  <c r="M280"/>
  <c r="L280"/>
  <c r="K279"/>
  <c r="J279"/>
  <c r="I279"/>
  <c r="H279"/>
  <c r="G279"/>
  <c r="F279"/>
  <c r="E279"/>
  <c r="D279"/>
  <c r="C279"/>
  <c r="O277"/>
  <c r="N277"/>
  <c r="P277"/>
  <c r="Q277"/>
  <c r="M277"/>
  <c r="L277"/>
  <c r="K276"/>
  <c r="J276"/>
  <c r="I276"/>
  <c r="H276"/>
  <c r="G276"/>
  <c r="F276"/>
  <c r="E276"/>
  <c r="D276"/>
  <c r="C276"/>
  <c r="O274"/>
  <c r="N274"/>
  <c r="P274"/>
  <c r="Q274"/>
  <c r="M274"/>
  <c r="L274"/>
  <c r="K273"/>
  <c r="J273"/>
  <c r="I273"/>
  <c r="H273"/>
  <c r="G273"/>
  <c r="F273"/>
  <c r="E273"/>
  <c r="D273"/>
  <c r="C273"/>
  <c r="O271"/>
  <c r="N271"/>
  <c r="P271"/>
  <c r="Q271"/>
  <c r="M271"/>
  <c r="L271"/>
  <c r="K270"/>
  <c r="J270"/>
  <c r="I270"/>
  <c r="H270"/>
  <c r="G270"/>
  <c r="F270"/>
  <c r="E270"/>
  <c r="D270"/>
  <c r="C270"/>
  <c r="O268"/>
  <c r="N268"/>
  <c r="P268"/>
  <c r="Q268"/>
  <c r="M268"/>
  <c r="L268"/>
  <c r="K267"/>
  <c r="J267"/>
  <c r="I267"/>
  <c r="H267"/>
  <c r="G267"/>
  <c r="F267"/>
  <c r="E267"/>
  <c r="D267"/>
  <c r="C267"/>
  <c r="O265"/>
  <c r="N265"/>
  <c r="P265"/>
  <c r="Q265"/>
  <c r="M265"/>
  <c r="L265"/>
  <c r="K264"/>
  <c r="J264"/>
  <c r="I264"/>
  <c r="H264"/>
  <c r="G264"/>
  <c r="F264"/>
  <c r="E264"/>
  <c r="D264"/>
  <c r="C264"/>
  <c r="O262"/>
  <c r="N262"/>
  <c r="P262"/>
  <c r="Q262"/>
  <c r="M262"/>
  <c r="L262"/>
  <c r="K261"/>
  <c r="J261"/>
  <c r="I261"/>
  <c r="H261"/>
  <c r="G261"/>
  <c r="F261"/>
  <c r="E261"/>
  <c r="D261"/>
  <c r="C261"/>
  <c r="O259"/>
  <c r="N259"/>
  <c r="P259"/>
  <c r="Q259"/>
  <c r="M259"/>
  <c r="L259"/>
  <c r="K258"/>
  <c r="J258"/>
  <c r="I258"/>
  <c r="H258"/>
  <c r="G258"/>
  <c r="F258"/>
  <c r="E258"/>
  <c r="D258"/>
  <c r="C258"/>
  <c r="O256"/>
  <c r="N256"/>
  <c r="P256"/>
  <c r="Q256"/>
  <c r="M256"/>
  <c r="L256"/>
  <c r="K255"/>
  <c r="J255"/>
  <c r="I255"/>
  <c r="H255"/>
  <c r="G255"/>
  <c r="F255"/>
  <c r="E255"/>
  <c r="D255"/>
  <c r="C255"/>
  <c r="O253"/>
  <c r="N253"/>
  <c r="P253"/>
  <c r="Q253"/>
  <c r="M253"/>
  <c r="L253"/>
  <c r="K252"/>
  <c r="J252"/>
  <c r="I252"/>
  <c r="H252"/>
  <c r="G252"/>
  <c r="F252"/>
  <c r="E252"/>
  <c r="D252"/>
  <c r="C252"/>
  <c r="O250"/>
  <c r="N250"/>
  <c r="P250"/>
  <c r="Q250"/>
  <c r="M250"/>
  <c r="L250"/>
  <c r="K249"/>
  <c r="J249"/>
  <c r="I249"/>
  <c r="H249"/>
  <c r="G249"/>
  <c r="F249"/>
  <c r="E249"/>
  <c r="D249"/>
  <c r="C249"/>
  <c r="O247"/>
  <c r="N247"/>
  <c r="P247"/>
  <c r="Q247"/>
  <c r="M247"/>
  <c r="L247"/>
  <c r="K246"/>
  <c r="J246"/>
  <c r="I246"/>
  <c r="H246"/>
  <c r="G246"/>
  <c r="F246"/>
  <c r="E246"/>
  <c r="D246"/>
  <c r="C246"/>
  <c r="O244"/>
  <c r="N244"/>
  <c r="P244"/>
  <c r="Q244"/>
  <c r="M244"/>
  <c r="L244"/>
  <c r="K243"/>
  <c r="J243"/>
  <c r="I243"/>
  <c r="H243"/>
  <c r="G243"/>
  <c r="F243"/>
  <c r="E243"/>
  <c r="D243"/>
  <c r="C243"/>
  <c r="O241"/>
  <c r="N241"/>
  <c r="P241"/>
  <c r="Q241"/>
  <c r="M241"/>
  <c r="L241"/>
  <c r="K240"/>
  <c r="J240"/>
  <c r="I240"/>
  <c r="H240"/>
  <c r="G240"/>
  <c r="F240"/>
  <c r="E240"/>
  <c r="D240"/>
  <c r="C240"/>
  <c r="O238"/>
  <c r="N238"/>
  <c r="P238"/>
  <c r="Q238"/>
  <c r="M238"/>
  <c r="L238"/>
  <c r="K237"/>
  <c r="J237"/>
  <c r="I237"/>
  <c r="H237"/>
  <c r="G237"/>
  <c r="F237"/>
  <c r="E237"/>
  <c r="D237"/>
  <c r="C237"/>
  <c r="O235"/>
  <c r="N235"/>
  <c r="P235"/>
  <c r="Q235"/>
  <c r="M235"/>
  <c r="L235"/>
  <c r="K234"/>
  <c r="J234"/>
  <c r="I234"/>
  <c r="H234"/>
  <c r="G234"/>
  <c r="F234"/>
  <c r="E234"/>
  <c r="D234"/>
  <c r="C234"/>
  <c r="O232"/>
  <c r="N232"/>
  <c r="P232"/>
  <c r="Q232"/>
  <c r="M232"/>
  <c r="L232"/>
  <c r="K231"/>
  <c r="J231"/>
  <c r="I231"/>
  <c r="H231"/>
  <c r="G231"/>
  <c r="F231"/>
  <c r="E231"/>
  <c r="D231"/>
  <c r="C231"/>
  <c r="O229"/>
  <c r="N229"/>
  <c r="P229"/>
  <c r="Q229"/>
  <c r="M229"/>
  <c r="L229"/>
  <c r="K228"/>
  <c r="J228"/>
  <c r="I228"/>
  <c r="H228"/>
  <c r="G228"/>
  <c r="F228"/>
  <c r="E228"/>
  <c r="D228"/>
  <c r="C228"/>
  <c r="O226"/>
  <c r="N226"/>
  <c r="P226"/>
  <c r="Q226"/>
  <c r="M226"/>
  <c r="L226"/>
  <c r="K225"/>
  <c r="J225"/>
  <c r="I225"/>
  <c r="H225"/>
  <c r="G225"/>
  <c r="F225"/>
  <c r="E225"/>
  <c r="D225"/>
  <c r="C225"/>
  <c r="O223"/>
  <c r="N223"/>
  <c r="P223"/>
  <c r="Q223"/>
  <c r="M223"/>
  <c r="L223"/>
  <c r="K222"/>
  <c r="J222"/>
  <c r="I222"/>
  <c r="H222"/>
  <c r="G222"/>
  <c r="F222"/>
  <c r="E222"/>
  <c r="D222"/>
  <c r="C222"/>
  <c r="O220"/>
  <c r="N220"/>
  <c r="P220"/>
  <c r="Q220"/>
  <c r="M220"/>
  <c r="L220"/>
  <c r="K219"/>
  <c r="J219"/>
  <c r="I219"/>
  <c r="H219"/>
  <c r="G219"/>
  <c r="F219"/>
  <c r="E219"/>
  <c r="D219"/>
  <c r="C219"/>
  <c r="O217"/>
  <c r="N217"/>
  <c r="P217"/>
  <c r="Q217"/>
  <c r="M217"/>
  <c r="L217"/>
  <c r="K216"/>
  <c r="J216"/>
  <c r="I216"/>
  <c r="H216"/>
  <c r="G216"/>
  <c r="F216"/>
  <c r="E216"/>
  <c r="D216"/>
  <c r="C216"/>
  <c r="O214"/>
  <c r="N214"/>
  <c r="P214"/>
  <c r="Q214"/>
  <c r="M214"/>
  <c r="L214"/>
  <c r="K213"/>
  <c r="J213"/>
  <c r="I213"/>
  <c r="H213"/>
  <c r="G213"/>
  <c r="F213"/>
  <c r="E213"/>
  <c r="D213"/>
  <c r="C213"/>
  <c r="O211"/>
  <c r="N211"/>
  <c r="P211"/>
  <c r="Q211"/>
  <c r="M211"/>
  <c r="L211"/>
  <c r="K210"/>
  <c r="J210"/>
  <c r="I210"/>
  <c r="H210"/>
  <c r="G210"/>
  <c r="F210"/>
  <c r="E210"/>
  <c r="D210"/>
  <c r="C210"/>
  <c r="O208"/>
  <c r="N208"/>
  <c r="P208"/>
  <c r="Q208"/>
  <c r="M208"/>
  <c r="L208"/>
  <c r="K207"/>
  <c r="J207"/>
  <c r="I207"/>
  <c r="H207"/>
  <c r="G207"/>
  <c r="F207"/>
  <c r="E207"/>
  <c r="D207"/>
  <c r="C207"/>
  <c r="O205"/>
  <c r="N205"/>
  <c r="P205"/>
  <c r="Q205"/>
  <c r="M205"/>
  <c r="L205"/>
  <c r="K204"/>
  <c r="J204"/>
  <c r="I204"/>
  <c r="H204"/>
  <c r="G204"/>
  <c r="F204"/>
  <c r="E204"/>
  <c r="D204"/>
  <c r="C204"/>
  <c r="O202"/>
  <c r="N202"/>
  <c r="P202"/>
  <c r="Q202"/>
  <c r="M202"/>
  <c r="L202"/>
  <c r="K201"/>
  <c r="J201"/>
  <c r="I201"/>
  <c r="H201"/>
  <c r="G201"/>
  <c r="F201"/>
  <c r="E201"/>
  <c r="D201"/>
  <c r="C201"/>
  <c r="O199"/>
  <c r="N199"/>
  <c r="P199"/>
  <c r="Q199"/>
  <c r="M199"/>
  <c r="L199"/>
  <c r="K198"/>
  <c r="J198"/>
  <c r="I198"/>
  <c r="H198"/>
  <c r="G198"/>
  <c r="F198"/>
  <c r="E198"/>
  <c r="D198"/>
  <c r="C198"/>
  <c r="O196"/>
  <c r="N196"/>
  <c r="P196"/>
  <c r="Q196"/>
  <c r="M196"/>
  <c r="L196"/>
  <c r="K195"/>
  <c r="J195"/>
  <c r="I195"/>
  <c r="H195"/>
  <c r="G195"/>
  <c r="F195"/>
  <c r="E195"/>
  <c r="D195"/>
  <c r="C195"/>
  <c r="O193"/>
  <c r="N193"/>
  <c r="P193"/>
  <c r="Q193"/>
  <c r="M193"/>
  <c r="L193"/>
  <c r="K192"/>
  <c r="J192"/>
  <c r="I192"/>
  <c r="H192"/>
  <c r="G192"/>
  <c r="F192"/>
  <c r="E192"/>
  <c r="D192"/>
  <c r="C192"/>
  <c r="O190"/>
  <c r="N190"/>
  <c r="P190"/>
  <c r="Q190"/>
  <c r="M190"/>
  <c r="L190"/>
  <c r="K189"/>
  <c r="J189"/>
  <c r="I189"/>
  <c r="H189"/>
  <c r="G189"/>
  <c r="F189"/>
  <c r="E189"/>
  <c r="D189"/>
  <c r="C189"/>
  <c r="O187"/>
  <c r="N187"/>
  <c r="P187"/>
  <c r="Q187"/>
  <c r="M187"/>
  <c r="L187"/>
  <c r="K186"/>
  <c r="J186"/>
  <c r="I186"/>
  <c r="H186"/>
  <c r="G186"/>
  <c r="F186"/>
  <c r="E186"/>
  <c r="D186"/>
  <c r="C186"/>
  <c r="O184"/>
  <c r="N184"/>
  <c r="P184"/>
  <c r="Q184"/>
  <c r="M184"/>
  <c r="L184"/>
  <c r="K183"/>
  <c r="J183"/>
  <c r="I183"/>
  <c r="H183"/>
  <c r="G183"/>
  <c r="F183"/>
  <c r="E183"/>
  <c r="D183"/>
  <c r="C183"/>
  <c r="O181"/>
  <c r="N181"/>
  <c r="P181"/>
  <c r="Q181"/>
  <c r="M181"/>
  <c r="L181"/>
  <c r="K180"/>
  <c r="J180"/>
  <c r="I180"/>
  <c r="H180"/>
  <c r="G180"/>
  <c r="F180"/>
  <c r="E180"/>
  <c r="D180"/>
  <c r="C180"/>
  <c r="O178"/>
  <c r="N178"/>
  <c r="P178"/>
  <c r="Q178"/>
  <c r="M178"/>
  <c r="L178"/>
  <c r="K177"/>
  <c r="J177"/>
  <c r="I177"/>
  <c r="H177"/>
  <c r="G177"/>
  <c r="F177"/>
  <c r="E177"/>
  <c r="D177"/>
  <c r="C177"/>
  <c r="O175"/>
  <c r="N175"/>
  <c r="P175"/>
  <c r="Q175"/>
  <c r="M175"/>
  <c r="L175"/>
  <c r="K174"/>
  <c r="J174"/>
  <c r="I174"/>
  <c r="H174"/>
  <c r="G174"/>
  <c r="F174"/>
  <c r="E174"/>
  <c r="D174"/>
  <c r="C174"/>
  <c r="O172"/>
  <c r="N172"/>
  <c r="P172"/>
  <c r="Q172"/>
  <c r="M172"/>
  <c r="L172"/>
  <c r="K171"/>
  <c r="J171"/>
  <c r="I171"/>
  <c r="H171"/>
  <c r="G171"/>
  <c r="F171"/>
  <c r="E171"/>
  <c r="D171"/>
  <c r="C171"/>
  <c r="Q169"/>
  <c r="P169"/>
  <c r="O169"/>
  <c r="N169"/>
  <c r="M169"/>
  <c r="L169"/>
  <c r="K168"/>
  <c r="J168"/>
  <c r="I168"/>
  <c r="H168"/>
  <c r="G168"/>
  <c r="F168"/>
  <c r="E168"/>
  <c r="D168"/>
  <c r="C168"/>
  <c r="O166"/>
  <c r="N166"/>
  <c r="P166"/>
  <c r="Q166"/>
  <c r="M166"/>
  <c r="L166"/>
  <c r="K165"/>
  <c r="J165"/>
  <c r="I165"/>
  <c r="H165"/>
  <c r="G165"/>
  <c r="F165"/>
  <c r="E165"/>
  <c r="D165"/>
  <c r="C165"/>
  <c r="O163"/>
  <c r="N163"/>
  <c r="P163"/>
  <c r="Q163"/>
  <c r="M163"/>
  <c r="L163"/>
  <c r="K162"/>
  <c r="J162"/>
  <c r="I162"/>
  <c r="H162"/>
  <c r="G162"/>
  <c r="F162"/>
  <c r="E162"/>
  <c r="D162"/>
  <c r="C162"/>
  <c r="O160"/>
  <c r="N160"/>
  <c r="P160"/>
  <c r="Q160"/>
  <c r="M160"/>
  <c r="L160"/>
  <c r="K159"/>
  <c r="J159"/>
  <c r="I159"/>
  <c r="H159"/>
  <c r="G159"/>
  <c r="F159"/>
  <c r="E159"/>
  <c r="D159"/>
  <c r="C159"/>
  <c r="O157"/>
  <c r="N157"/>
  <c r="P157"/>
  <c r="Q157"/>
  <c r="M157"/>
  <c r="L157"/>
  <c r="K156"/>
  <c r="J156"/>
  <c r="I156"/>
  <c r="H156"/>
  <c r="G156"/>
  <c r="F156"/>
  <c r="E156"/>
  <c r="D156"/>
  <c r="C156"/>
  <c r="O154"/>
  <c r="N154"/>
  <c r="P154"/>
  <c r="Q154"/>
  <c r="M154"/>
  <c r="L154"/>
  <c r="K153"/>
  <c r="J153"/>
  <c r="I153"/>
  <c r="H153"/>
  <c r="G153"/>
  <c r="F153"/>
  <c r="E153"/>
  <c r="D153"/>
  <c r="C153"/>
  <c r="O151"/>
  <c r="N151"/>
  <c r="P151"/>
  <c r="Q151"/>
  <c r="M151"/>
  <c r="L151"/>
  <c r="K150"/>
  <c r="J150"/>
  <c r="I150"/>
  <c r="H150"/>
  <c r="G150"/>
  <c r="F150"/>
  <c r="E150"/>
  <c r="D150"/>
  <c r="C150"/>
  <c r="O148"/>
  <c r="N148"/>
  <c r="P148"/>
  <c r="Q148"/>
  <c r="M148"/>
  <c r="L148"/>
  <c r="K147"/>
  <c r="J147"/>
  <c r="I147"/>
  <c r="H147"/>
  <c r="G147"/>
  <c r="F147"/>
  <c r="E147"/>
  <c r="D147"/>
  <c r="C147"/>
  <c r="O145"/>
  <c r="N145"/>
  <c r="P145"/>
  <c r="Q145"/>
  <c r="M145"/>
  <c r="L145"/>
  <c r="K144"/>
  <c r="J144"/>
  <c r="I144"/>
  <c r="H144"/>
  <c r="G144"/>
  <c r="F144"/>
  <c r="E144"/>
  <c r="D144"/>
  <c r="C144"/>
  <c r="O142"/>
  <c r="N142"/>
  <c r="P142"/>
  <c r="Q142"/>
  <c r="M142"/>
  <c r="L142"/>
  <c r="K141"/>
  <c r="J141"/>
  <c r="I141"/>
  <c r="H141"/>
  <c r="G141"/>
  <c r="F141"/>
  <c r="E141"/>
  <c r="D141"/>
  <c r="C141"/>
  <c r="O139"/>
  <c r="N139"/>
  <c r="P139"/>
  <c r="Q139"/>
  <c r="M139"/>
  <c r="L139"/>
  <c r="K138"/>
  <c r="J138"/>
  <c r="I138"/>
  <c r="H138"/>
  <c r="G138"/>
  <c r="F138"/>
  <c r="E138"/>
  <c r="D138"/>
  <c r="C138"/>
  <c r="O136"/>
  <c r="N136"/>
  <c r="P136"/>
  <c r="Q136"/>
  <c r="M136"/>
  <c r="L136"/>
  <c r="K135"/>
  <c r="J135"/>
  <c r="I135"/>
  <c r="H135"/>
  <c r="G135"/>
  <c r="F135"/>
  <c r="E135"/>
  <c r="D135"/>
  <c r="C135"/>
  <c r="O133"/>
  <c r="N133"/>
  <c r="P133"/>
  <c r="Q133"/>
  <c r="M133"/>
  <c r="L133"/>
  <c r="K132"/>
  <c r="J132"/>
  <c r="I132"/>
  <c r="H132"/>
  <c r="G132"/>
  <c r="F132"/>
  <c r="E132"/>
  <c r="D132"/>
  <c r="C132"/>
  <c r="O130"/>
  <c r="N130"/>
  <c r="P130"/>
  <c r="Q130"/>
  <c r="M130"/>
  <c r="L130"/>
  <c r="K129"/>
  <c r="J129"/>
  <c r="I129"/>
  <c r="H129"/>
  <c r="G129"/>
  <c r="F129"/>
  <c r="E129"/>
  <c r="D129"/>
  <c r="C129"/>
  <c r="O127"/>
  <c r="N127"/>
  <c r="P127"/>
  <c r="Q127"/>
  <c r="M127"/>
  <c r="L127"/>
  <c r="K126"/>
  <c r="J126"/>
  <c r="I126"/>
  <c r="H126"/>
  <c r="G126"/>
  <c r="F126"/>
  <c r="E126"/>
  <c r="D126"/>
  <c r="C126"/>
  <c r="O124"/>
  <c r="N124"/>
  <c r="P124"/>
  <c r="Q124"/>
  <c r="M124"/>
  <c r="L124"/>
  <c r="K123"/>
  <c r="J123"/>
  <c r="I123"/>
  <c r="H123"/>
  <c r="G123"/>
  <c r="F123"/>
  <c r="E123"/>
  <c r="D123"/>
  <c r="C123"/>
  <c r="O121"/>
  <c r="N121"/>
  <c r="P121"/>
  <c r="Q121"/>
  <c r="M121"/>
  <c r="L121"/>
  <c r="K120"/>
  <c r="J120"/>
  <c r="I120"/>
  <c r="H120"/>
  <c r="G120"/>
  <c r="F120"/>
  <c r="E120"/>
  <c r="D120"/>
  <c r="C120"/>
  <c r="P118"/>
  <c r="O118"/>
  <c r="K117"/>
  <c r="J117"/>
  <c r="I117"/>
  <c r="H117"/>
  <c r="G117"/>
  <c r="F117"/>
  <c r="E117"/>
  <c r="D117"/>
  <c r="C117"/>
  <c r="O115"/>
  <c r="N115"/>
  <c r="P115"/>
  <c r="Q115"/>
  <c r="M115"/>
  <c r="L115"/>
  <c r="K114"/>
  <c r="J114"/>
  <c r="I114"/>
  <c r="H114"/>
  <c r="G114"/>
  <c r="F114"/>
  <c r="E114"/>
  <c r="D114"/>
  <c r="C114"/>
  <c r="O112"/>
  <c r="N112"/>
  <c r="P112"/>
  <c r="Q112"/>
  <c r="M112"/>
  <c r="L112"/>
  <c r="K111"/>
  <c r="J111"/>
  <c r="I111"/>
  <c r="H111"/>
  <c r="G111"/>
  <c r="F111"/>
  <c r="E111"/>
  <c r="D111"/>
  <c r="C111"/>
  <c r="O109"/>
  <c r="N109"/>
  <c r="P109"/>
  <c r="Q109"/>
  <c r="M109"/>
  <c r="L109"/>
  <c r="K108"/>
  <c r="J108"/>
  <c r="I108"/>
  <c r="H108"/>
  <c r="G108"/>
  <c r="F108"/>
  <c r="E108"/>
  <c r="D108"/>
  <c r="C108"/>
  <c r="O106"/>
  <c r="N106"/>
  <c r="P106"/>
  <c r="Q106"/>
  <c r="M106"/>
  <c r="L106"/>
  <c r="K105"/>
  <c r="J105"/>
  <c r="I105"/>
  <c r="H105"/>
  <c r="G105"/>
  <c r="F105"/>
  <c r="E105"/>
  <c r="D105"/>
  <c r="C105"/>
  <c r="O103"/>
  <c r="N103"/>
  <c r="P103"/>
  <c r="Q103"/>
  <c r="M103"/>
  <c r="L103"/>
  <c r="K102"/>
  <c r="J102"/>
  <c r="I102"/>
  <c r="H102"/>
  <c r="G102"/>
  <c r="F102"/>
  <c r="E102"/>
  <c r="D102"/>
  <c r="C102"/>
  <c r="O100"/>
  <c r="N100"/>
  <c r="P100"/>
  <c r="Q100"/>
  <c r="M100"/>
  <c r="L100"/>
  <c r="K99"/>
  <c r="J99"/>
  <c r="I99"/>
  <c r="H99"/>
  <c r="G99"/>
  <c r="F99"/>
  <c r="E99"/>
  <c r="D99"/>
  <c r="C99"/>
  <c r="O97"/>
  <c r="N97"/>
  <c r="P97"/>
  <c r="Q97"/>
  <c r="M97"/>
  <c r="L97"/>
  <c r="K96"/>
  <c r="J96"/>
  <c r="I96"/>
  <c r="H96"/>
  <c r="G96"/>
  <c r="F96"/>
  <c r="E96"/>
  <c r="D96"/>
  <c r="C96"/>
  <c r="Q94"/>
  <c r="P94"/>
  <c r="O94"/>
  <c r="N94"/>
  <c r="M94"/>
  <c r="L94"/>
  <c r="K93"/>
  <c r="J93"/>
  <c r="I93"/>
  <c r="H93"/>
  <c r="G93"/>
  <c r="F93"/>
  <c r="E93"/>
  <c r="D93"/>
  <c r="C93"/>
  <c r="O91"/>
  <c r="N91"/>
  <c r="P91"/>
  <c r="Q91"/>
  <c r="M91"/>
  <c r="L91"/>
  <c r="K90"/>
  <c r="J90"/>
  <c r="I90"/>
  <c r="H90"/>
  <c r="G90"/>
  <c r="F90"/>
  <c r="E90"/>
  <c r="D90"/>
  <c r="C90"/>
  <c r="O88"/>
  <c r="N88"/>
  <c r="P88"/>
  <c r="Q88"/>
  <c r="M88"/>
  <c r="L88"/>
  <c r="K87"/>
  <c r="J87"/>
  <c r="I87"/>
  <c r="H87"/>
  <c r="G87"/>
  <c r="F87"/>
  <c r="E87"/>
  <c r="D87"/>
  <c r="C87"/>
  <c r="O85"/>
  <c r="N85"/>
  <c r="P85"/>
  <c r="Q85"/>
  <c r="M85"/>
  <c r="L85"/>
  <c r="K84"/>
  <c r="J84"/>
  <c r="I84"/>
  <c r="H84"/>
  <c r="G84"/>
  <c r="F84"/>
  <c r="E84"/>
  <c r="D84"/>
  <c r="C84"/>
  <c r="O82"/>
  <c r="N82"/>
  <c r="P82"/>
  <c r="Q82"/>
  <c r="M82"/>
  <c r="L82"/>
  <c r="K81"/>
  <c r="J81"/>
  <c r="I81"/>
  <c r="H81"/>
  <c r="G81"/>
  <c r="F81"/>
  <c r="E81"/>
  <c r="D81"/>
  <c r="C81"/>
  <c r="O79"/>
  <c r="N79"/>
  <c r="P79"/>
  <c r="Q79"/>
  <c r="M79"/>
  <c r="L79"/>
  <c r="K78"/>
  <c r="J78"/>
  <c r="I78"/>
  <c r="H78"/>
  <c r="G78"/>
  <c r="F78"/>
  <c r="E78"/>
  <c r="D78"/>
  <c r="C78"/>
  <c r="O76"/>
  <c r="N76"/>
  <c r="P76"/>
  <c r="Q76"/>
  <c r="M76"/>
  <c r="L76"/>
  <c r="K75"/>
  <c r="J75"/>
  <c r="I75"/>
  <c r="H75"/>
  <c r="G75"/>
  <c r="F75"/>
  <c r="E75"/>
  <c r="D75"/>
  <c r="C75"/>
  <c r="O73"/>
  <c r="N73"/>
  <c r="P73"/>
  <c r="Q73"/>
  <c r="M73"/>
  <c r="L73"/>
  <c r="K72"/>
  <c r="J72"/>
  <c r="I72"/>
  <c r="H72"/>
  <c r="G72"/>
  <c r="F72"/>
  <c r="E72"/>
  <c r="D72"/>
  <c r="C72"/>
  <c r="O70"/>
  <c r="N70"/>
  <c r="P70"/>
  <c r="Q70"/>
  <c r="M70"/>
  <c r="L70"/>
  <c r="K69"/>
  <c r="J69"/>
  <c r="I69"/>
  <c r="H69"/>
  <c r="G69"/>
  <c r="F69"/>
  <c r="E69"/>
  <c r="D69"/>
  <c r="C69"/>
  <c r="O67"/>
  <c r="N67"/>
  <c r="P67"/>
  <c r="Q67"/>
  <c r="M67"/>
  <c r="L67"/>
  <c r="K66"/>
  <c r="J66"/>
  <c r="I66"/>
  <c r="H66"/>
  <c r="G66"/>
  <c r="F66"/>
  <c r="E66"/>
  <c r="D66"/>
  <c r="C66"/>
  <c r="O64"/>
  <c r="N64"/>
  <c r="P64"/>
  <c r="Q64"/>
  <c r="M64"/>
  <c r="L64"/>
  <c r="K63"/>
  <c r="J63"/>
  <c r="I63"/>
  <c r="H63"/>
  <c r="G63"/>
  <c r="F63"/>
  <c r="E63"/>
  <c r="D63"/>
  <c r="C63"/>
  <c r="O61"/>
  <c r="N61"/>
  <c r="P61"/>
  <c r="Q61"/>
  <c r="M61"/>
  <c r="L61"/>
  <c r="K60"/>
  <c r="J60"/>
  <c r="I60"/>
  <c r="H60"/>
  <c r="G60"/>
  <c r="F60"/>
  <c r="E60"/>
  <c r="D60"/>
  <c r="C60"/>
  <c r="O58"/>
  <c r="N58"/>
  <c r="P58"/>
  <c r="Q58"/>
  <c r="M58"/>
  <c r="L58"/>
  <c r="K57"/>
  <c r="J57"/>
  <c r="I57"/>
  <c r="H57"/>
  <c r="G57"/>
  <c r="F57"/>
  <c r="E57"/>
  <c r="D57"/>
  <c r="C57"/>
  <c r="O55"/>
  <c r="N55"/>
  <c r="P55"/>
  <c r="Q55"/>
  <c r="M55"/>
  <c r="L55"/>
  <c r="K54"/>
  <c r="J54"/>
  <c r="I54"/>
  <c r="H54"/>
  <c r="G54"/>
  <c r="F54"/>
  <c r="E54"/>
  <c r="D54"/>
  <c r="C54"/>
  <c r="O52"/>
  <c r="N52"/>
  <c r="P52"/>
  <c r="Q52"/>
  <c r="M52"/>
  <c r="L52"/>
  <c r="K51"/>
  <c r="J51"/>
  <c r="I51"/>
  <c r="H51"/>
  <c r="G51"/>
  <c r="F51"/>
  <c r="E51"/>
  <c r="D51"/>
  <c r="C51"/>
  <c r="O49"/>
  <c r="N49"/>
  <c r="P49"/>
  <c r="Q49"/>
  <c r="M49"/>
  <c r="L49"/>
  <c r="K48"/>
  <c r="J48"/>
  <c r="I48"/>
  <c r="H48"/>
  <c r="G48"/>
  <c r="F48"/>
  <c r="E48"/>
  <c r="D48"/>
  <c r="C48"/>
  <c r="O46"/>
  <c r="N46"/>
  <c r="P46"/>
  <c r="Q46"/>
  <c r="M46"/>
  <c r="L46"/>
  <c r="K45"/>
  <c r="J45"/>
  <c r="I45"/>
  <c r="H45"/>
  <c r="G45"/>
  <c r="F45"/>
  <c r="E45"/>
  <c r="D45"/>
  <c r="C45"/>
  <c r="O43"/>
  <c r="N43"/>
  <c r="P43"/>
  <c r="Q43"/>
  <c r="M43"/>
  <c r="L43"/>
  <c r="K42"/>
  <c r="J42"/>
  <c r="I42"/>
  <c r="H42"/>
  <c r="G42"/>
  <c r="F42"/>
  <c r="E42"/>
  <c r="D42"/>
  <c r="C42"/>
  <c r="O40"/>
  <c r="N40"/>
  <c r="P40"/>
  <c r="Q40"/>
  <c r="M40"/>
  <c r="L40"/>
  <c r="K39"/>
  <c r="J39"/>
  <c r="I39"/>
  <c r="H39"/>
  <c r="G39"/>
  <c r="F39"/>
  <c r="E39"/>
  <c r="D39"/>
  <c r="C39"/>
  <c r="O37"/>
  <c r="N37"/>
  <c r="P37"/>
  <c r="Q37"/>
  <c r="M37"/>
  <c r="L37"/>
  <c r="K36"/>
  <c r="J36"/>
  <c r="I36"/>
  <c r="H36"/>
  <c r="G36"/>
  <c r="F36"/>
  <c r="E36"/>
  <c r="D36"/>
  <c r="C36"/>
  <c r="O34"/>
  <c r="N34"/>
  <c r="P34"/>
  <c r="Q34"/>
  <c r="M34"/>
  <c r="L34"/>
  <c r="K33"/>
  <c r="J33"/>
  <c r="I33"/>
  <c r="H33"/>
  <c r="G33"/>
  <c r="F33"/>
  <c r="E33"/>
  <c r="D33"/>
  <c r="C33"/>
  <c r="O31"/>
  <c r="N31"/>
  <c r="P31"/>
  <c r="Q31"/>
  <c r="M31"/>
  <c r="L31"/>
  <c r="K30"/>
  <c r="J30"/>
  <c r="I30"/>
  <c r="H30"/>
  <c r="G30"/>
  <c r="F30"/>
  <c r="E30"/>
  <c r="D30"/>
  <c r="C30"/>
  <c r="O28"/>
  <c r="N28"/>
  <c r="P28"/>
  <c r="Q28"/>
  <c r="M28"/>
  <c r="L28"/>
  <c r="K27"/>
  <c r="J27"/>
  <c r="I27"/>
  <c r="H27"/>
  <c r="G27"/>
  <c r="F27"/>
  <c r="E27"/>
  <c r="D27"/>
  <c r="C27"/>
  <c r="O25"/>
  <c r="N25"/>
  <c r="P25"/>
  <c r="Q25"/>
  <c r="M25"/>
  <c r="L25"/>
  <c r="K24"/>
  <c r="J24"/>
  <c r="I24"/>
  <c r="H24"/>
  <c r="G24"/>
  <c r="F24"/>
  <c r="E24"/>
  <c r="D24"/>
  <c r="C24"/>
  <c r="O22"/>
  <c r="N22"/>
  <c r="P22"/>
  <c r="Q22"/>
  <c r="M22"/>
  <c r="L22"/>
  <c r="K21"/>
  <c r="J21"/>
  <c r="I21"/>
  <c r="H21"/>
  <c r="G21"/>
  <c r="F21"/>
  <c r="E21"/>
  <c r="D21"/>
  <c r="C21"/>
  <c r="O19"/>
  <c r="N19"/>
  <c r="P19"/>
  <c r="Q19"/>
  <c r="M19"/>
  <c r="L19"/>
  <c r="K18"/>
  <c r="J18"/>
  <c r="I18"/>
  <c r="H18"/>
  <c r="G18"/>
  <c r="F18"/>
  <c r="E18"/>
  <c r="D18"/>
  <c r="C18"/>
  <c r="O16"/>
  <c r="N16"/>
  <c r="P16"/>
  <c r="Q16"/>
  <c r="M16"/>
  <c r="L16"/>
  <c r="K15"/>
  <c r="J15"/>
  <c r="I15"/>
  <c r="H15"/>
  <c r="G15"/>
  <c r="F15"/>
  <c r="E15"/>
  <c r="D15"/>
  <c r="C15"/>
  <c r="O13"/>
  <c r="N13"/>
  <c r="P13"/>
  <c r="Q13"/>
  <c r="M13"/>
  <c r="L13"/>
  <c r="K12"/>
  <c r="J12"/>
  <c r="I12"/>
  <c r="H12"/>
  <c r="G12"/>
  <c r="F12"/>
  <c r="E12"/>
  <c r="D12"/>
  <c r="C12"/>
  <c r="O10"/>
  <c r="N10"/>
  <c r="P10"/>
  <c r="Q10"/>
  <c r="M10"/>
  <c r="L10"/>
  <c r="D118" i="1"/>
  <c r="D168"/>
  <c r="E168"/>
  <c r="D167"/>
  <c r="E167"/>
  <c r="D166"/>
  <c r="E166"/>
  <c r="D165"/>
  <c r="E165"/>
  <c r="D164"/>
  <c r="E164"/>
  <c r="D163"/>
  <c r="E163"/>
  <c r="D162"/>
  <c r="E162"/>
  <c r="D161"/>
  <c r="E161"/>
  <c r="D160"/>
  <c r="E160"/>
  <c r="D159"/>
  <c r="E159"/>
  <c r="D158"/>
  <c r="E158"/>
  <c r="D157"/>
  <c r="E157"/>
  <c r="D156"/>
  <c r="E156"/>
  <c r="D155"/>
  <c r="E155"/>
  <c r="D154"/>
  <c r="E154"/>
  <c r="D153"/>
  <c r="E153"/>
  <c r="D152"/>
  <c r="E152"/>
  <c r="D151"/>
  <c r="E151"/>
  <c r="D150"/>
  <c r="E150"/>
  <c r="D149"/>
  <c r="E149"/>
  <c r="D148"/>
  <c r="E148"/>
  <c r="D147"/>
  <c r="E147"/>
  <c r="D146"/>
  <c r="E146"/>
  <c r="D145"/>
  <c r="E145"/>
  <c r="D144"/>
  <c r="E144"/>
  <c r="D143"/>
  <c r="E143"/>
  <c r="D142"/>
  <c r="E142"/>
  <c r="D141"/>
  <c r="E141"/>
  <c r="D140"/>
  <c r="E140"/>
  <c r="D139"/>
  <c r="E139"/>
  <c r="D138"/>
  <c r="E138"/>
  <c r="D137"/>
  <c r="E137"/>
  <c r="D136"/>
  <c r="E136"/>
  <c r="D135"/>
  <c r="E135"/>
  <c r="D134"/>
  <c r="E134"/>
  <c r="D133"/>
  <c r="E133"/>
  <c r="D132"/>
  <c r="E132"/>
  <c r="D131"/>
  <c r="E131"/>
  <c r="D130"/>
  <c r="E130"/>
  <c r="D129"/>
  <c r="E129"/>
  <c r="D128"/>
  <c r="E128"/>
  <c r="D127"/>
  <c r="E127"/>
  <c r="D126"/>
  <c r="E126"/>
  <c r="D125"/>
  <c r="E125"/>
  <c r="D124"/>
  <c r="E124"/>
  <c r="D123"/>
  <c r="E123"/>
  <c r="D122"/>
  <c r="E122"/>
  <c r="D121"/>
  <c r="E121"/>
  <c r="D120"/>
  <c r="E120"/>
  <c r="D119"/>
  <c r="E119"/>
  <c r="E118"/>
  <c r="D117"/>
  <c r="E117"/>
  <c r="D116"/>
  <c r="E116"/>
  <c r="D115"/>
  <c r="E115"/>
  <c r="D114"/>
  <c r="E114"/>
  <c r="D113"/>
  <c r="E113"/>
  <c r="D112"/>
  <c r="E112"/>
  <c r="D111"/>
  <c r="E111"/>
  <c r="D110"/>
  <c r="E110"/>
  <c r="D109"/>
  <c r="E109"/>
  <c r="D108"/>
  <c r="E108"/>
  <c r="D107"/>
  <c r="E107"/>
  <c r="D106"/>
  <c r="E106"/>
  <c r="D105"/>
  <c r="E105"/>
  <c r="D104"/>
  <c r="E104"/>
  <c r="D103"/>
  <c r="E103"/>
  <c r="D102"/>
  <c r="E102"/>
  <c r="D101"/>
  <c r="E101"/>
  <c r="E100"/>
  <c r="D99"/>
  <c r="E99"/>
  <c r="D98"/>
  <c r="E98"/>
  <c r="D97"/>
  <c r="E97"/>
  <c r="D96"/>
  <c r="E96"/>
  <c r="D95"/>
  <c r="E95"/>
  <c r="D94"/>
  <c r="E94"/>
  <c r="D93"/>
  <c r="E93"/>
  <c r="D92"/>
  <c r="E92"/>
  <c r="D91"/>
  <c r="E91"/>
  <c r="D90"/>
  <c r="E90"/>
  <c r="D89"/>
  <c r="E89"/>
  <c r="D88"/>
  <c r="E88"/>
  <c r="D87"/>
  <c r="E87"/>
  <c r="D86"/>
  <c r="E86"/>
  <c r="D85"/>
  <c r="E85"/>
  <c r="D84"/>
  <c r="E84"/>
  <c r="D83"/>
  <c r="E83"/>
  <c r="D82"/>
  <c r="E82"/>
  <c r="D81"/>
  <c r="E81"/>
  <c r="D80"/>
  <c r="E80"/>
  <c r="D79"/>
  <c r="E79"/>
  <c r="D78"/>
  <c r="E78"/>
  <c r="D77"/>
  <c r="E77"/>
  <c r="D76"/>
  <c r="E76"/>
  <c r="D75"/>
  <c r="E75"/>
  <c r="D74"/>
  <c r="E74"/>
  <c r="D73"/>
  <c r="E73"/>
  <c r="D72"/>
  <c r="E72"/>
  <c r="D71"/>
  <c r="E71"/>
  <c r="D70"/>
  <c r="E70"/>
  <c r="D69"/>
  <c r="E69"/>
  <c r="D68"/>
  <c r="E68"/>
  <c r="D67"/>
  <c r="E67"/>
  <c r="D66"/>
  <c r="E66"/>
  <c r="D65"/>
  <c r="E65"/>
  <c r="D64"/>
  <c r="E64"/>
  <c r="D63"/>
  <c r="E63"/>
  <c r="D62"/>
  <c r="E62"/>
  <c r="D61"/>
  <c r="E61"/>
  <c r="D60"/>
  <c r="E60"/>
  <c r="D59"/>
  <c r="E59"/>
  <c r="D58"/>
  <c r="E58"/>
  <c r="D57"/>
  <c r="E57"/>
  <c r="D56"/>
  <c r="E56"/>
  <c r="D55"/>
  <c r="E55"/>
  <c r="D54"/>
  <c r="E54"/>
  <c r="D53"/>
  <c r="E53"/>
  <c r="D52"/>
  <c r="E52"/>
  <c r="D51"/>
  <c r="E51"/>
  <c r="D50"/>
  <c r="E50"/>
  <c r="D49"/>
  <c r="E49"/>
  <c r="D48"/>
  <c r="E48"/>
  <c r="D47"/>
  <c r="E47"/>
  <c r="D46"/>
  <c r="E46"/>
  <c r="D45"/>
  <c r="E45"/>
  <c r="D44"/>
  <c r="E44"/>
  <c r="D43"/>
  <c r="E43"/>
  <c r="D42"/>
  <c r="E42"/>
  <c r="D41"/>
  <c r="E41"/>
  <c r="D40"/>
  <c r="E40"/>
  <c r="D39"/>
  <c r="E39"/>
  <c r="D38"/>
  <c r="E38"/>
  <c r="D37"/>
  <c r="E37"/>
  <c r="D36"/>
  <c r="E36"/>
  <c r="D35"/>
  <c r="E35"/>
  <c r="D34"/>
  <c r="E34"/>
  <c r="D33"/>
  <c r="E33"/>
  <c r="D32"/>
  <c r="E32"/>
  <c r="D31"/>
  <c r="E31"/>
  <c r="D30"/>
  <c r="E30"/>
  <c r="D29"/>
  <c r="E29"/>
  <c r="D28"/>
  <c r="E28"/>
  <c r="D27"/>
  <c r="E27"/>
  <c r="D26"/>
  <c r="E26"/>
  <c r="D25"/>
  <c r="E25"/>
  <c r="D24"/>
  <c r="E24"/>
  <c r="D23"/>
  <c r="E23"/>
  <c r="D22"/>
  <c r="E22"/>
  <c r="D21"/>
  <c r="E21"/>
  <c r="D20"/>
  <c r="E20"/>
  <c r="D19"/>
  <c r="E19"/>
  <c r="D18"/>
  <c r="E18"/>
  <c r="D17"/>
  <c r="E17"/>
  <c r="D16"/>
  <c r="E16"/>
  <c r="D15"/>
  <c r="E15"/>
  <c r="D14"/>
  <c r="E14"/>
  <c r="D13"/>
  <c r="E13"/>
  <c r="D12"/>
  <c r="E12"/>
  <c r="D11"/>
  <c r="E11"/>
</calcChain>
</file>

<file path=xl/sharedStrings.xml><?xml version="1.0" encoding="utf-8"?>
<sst xmlns="http://schemas.openxmlformats.org/spreadsheetml/2006/main" count="1025" uniqueCount="288">
  <si>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</si>
  <si>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</si>
  <si>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</si>
  <si>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</si>
  <si>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</si>
  <si>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</si>
  <si>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</si>
  <si>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</si>
  <si>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</si>
  <si>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</si>
  <si>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</si>
  <si>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</si>
  <si>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</si>
  <si>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</si>
  <si>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</si>
  <si>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</si>
  <si>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</si>
  <si>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</si>
  <si>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</si>
  <si>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</si>
  <si>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</si>
  <si>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</si>
  <si>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</si>
  <si>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</si>
  <si>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</si>
  <si>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0 post 05) QC After Facility Shutdown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</si>
  <si>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</si>
  <si>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</si>
  <si>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</si>
  <si>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</si>
  <si>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</si>
  <si>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</si>
  <si>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</si>
  <si>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</si>
  <si>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</si>
  <si>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</si>
  <si>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</si>
  <si>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</si>
  <si>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</si>
  <si>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</si>
  <si>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</si>
  <si>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</si>
  <si>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</si>
  <si>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</si>
  <si>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</si>
  <si>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Lamp 4 and 8 replaced by new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</si>
  <si>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</si>
  <si>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</si>
  <si>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</si>
  <si>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</si>
  <si>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</si>
  <si>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</si>
  <si>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</si>
  <si>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</si>
  <si>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</si>
  <si>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</si>
  <si>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</si>
  <si>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</si>
  <si>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</si>
  <si>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</si>
  <si>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</si>
  <si>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</si>
  <si>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</si>
  <si>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</si>
  <si>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</si>
  <si>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</si>
  <si>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</si>
  <si>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</si>
  <si>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</si>
  <si>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</si>
  <si>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</si>
  <si>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</si>
  <si>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</si>
  <si>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0,post 110)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</si>
  <si>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</si>
  <si>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</si>
  <si>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</si>
  <si>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</si>
  <si>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</si>
  <si>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</si>
  <si>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</si>
  <si>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</si>
  <si>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</si>
  <si>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</si>
  <si>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</si>
  <si>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</si>
  <si>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</si>
  <si>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</si>
  <si>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</si>
  <si>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</si>
  <si>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</si>
  <si>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</si>
  <si>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</si>
  <si>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</si>
  <si>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</si>
  <si>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</si>
  <si>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</si>
  <si>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</si>
  <si>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</si>
  <si>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</si>
  <si>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</si>
  <si>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</si>
  <si>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</si>
  <si>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</si>
  <si>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</si>
  <si>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</si>
  <si>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</si>
  <si>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</si>
  <si>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</si>
  <si>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</si>
  <si>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</si>
  <si>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</si>
  <si>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</si>
  <si>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</si>
  <si>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</si>
  <si>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</si>
  <si>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</si>
  <si>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</si>
  <si>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</si>
  <si>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</si>
  <si>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</si>
  <si>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</si>
  <si>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</si>
  <si>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YEDR1( Only CP after WF broken in Transfer CH.)</t>
  </si>
  <si>
    <t>Recipe: F</t>
  </si>
  <si>
    <t>Pass Criteria for % STDEV: LSL=0 USL=5.5,LCL=0 UCL= 5.5</t>
  </si>
  <si>
    <t>Max Etch Rate</t>
  </si>
  <si>
    <t>Min Etch Rate</t>
  </si>
  <si>
    <t>%
STDEV</t>
  </si>
  <si>
    <t>%
Uni</t>
  </si>
  <si>
    <t>LSL</t>
  </si>
  <si>
    <t>LCL</t>
  </si>
  <si>
    <t>%Uni UCL</t>
  </si>
  <si>
    <t>Pre</t>
  </si>
  <si>
    <t>Q17010001.F1</t>
  </si>
  <si>
    <t>Post</t>
  </si>
  <si>
    <t>ER(Å/Min)</t>
  </si>
  <si>
    <t>Q17020037.F1</t>
  </si>
  <si>
    <t>Q17040020.F1 QC After Facility Shutdown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</si>
  <si>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</si>
  <si>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</si>
  <si>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</si>
  <si>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</si>
  <si>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</si>
  <si>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</si>
  <si>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</si>
  <si>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</si>
  <si>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</si>
  <si>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</si>
  <si>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</si>
  <si>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</si>
  <si>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</si>
  <si>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</si>
  <si>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</si>
  <si>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</si>
  <si>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</si>
  <si>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</si>
  <si>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</si>
  <si>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</si>
  <si>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</si>
  <si>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</si>
  <si>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Pass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</si>
  <si>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</si>
  <si>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</si>
  <si>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</si>
  <si>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</si>
  <si>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</si>
  <si>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</si>
  <si>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</si>
  <si>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</si>
  <si>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</si>
  <si>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</si>
  <si>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 xml:space="preserve"> Q17320026.F1 - Last step pending in DMIS</t>
  </si>
  <si>
    <t>Total 06 Lamps Changed</t>
  </si>
  <si>
    <t>Q17320063.F1 QC Failed due to minimum ER is less than 9000</t>
  </si>
  <si>
    <t>Q17340033.F1 QC Failed due to minimum ER is  8124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</si>
  <si>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</si>
  <si>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</si>
  <si>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</si>
  <si>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</si>
  <si>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</si>
  <si>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</si>
  <si>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</si>
  <si>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</si>
  <si>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</si>
  <si>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</si>
  <si>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</si>
  <si>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</si>
  <si>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</si>
  <si>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</si>
  <si>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</si>
  <si>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</si>
  <si>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</si>
  <si>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</si>
  <si>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</si>
  <si>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</si>
  <si>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</si>
  <si>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</si>
  <si>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</si>
  <si>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</si>
  <si>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</si>
  <si>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</si>
  <si>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current Intensity increased to 1.5 mA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</si>
  <si>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</si>
  <si>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</si>
  <si>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</si>
  <si>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</si>
  <si>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</si>
  <si>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</si>
  <si>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</si>
  <si>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</si>
  <si>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</si>
  <si>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</si>
  <si>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 xml:space="preserve">AFTER  ONE LAMP </t>
  </si>
  <si>
    <t>CHANGED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</si>
  <si>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</si>
  <si>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</si>
  <si>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</si>
  <si>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</si>
  <si>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</si>
  <si>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</si>
  <si>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</si>
  <si>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</si>
  <si>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</si>
  <si>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</si>
  <si>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</si>
  <si>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</si>
  <si>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</si>
  <si>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</si>
  <si>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</si>
  <si>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</si>
  <si>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</si>
  <si>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</si>
  <si>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</si>
  <si>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</si>
  <si>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</si>
  <si>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</si>
  <si>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</si>
  <si>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</si>
  <si>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</si>
  <si>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</si>
  <si>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</si>
  <si>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</si>
  <si>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</si>
  <si>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</si>
  <si>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</si>
  <si>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</si>
  <si>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</si>
  <si>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</si>
  <si>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</si>
  <si>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Q18350034.F1. QC after chamber PM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</si>
  <si>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</si>
  <si>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</si>
  <si>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</si>
  <si>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</si>
  <si>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</si>
  <si>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</si>
  <si>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</si>
  <si>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</si>
  <si>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</si>
  <si>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</si>
  <si>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</si>
  <si>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</si>
  <si>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</si>
  <si>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</si>
  <si>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</si>
  <si>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F19010013.F1</t>
  </si>
  <si>
    <t>delta CP</t>
  </si>
  <si>
    <r>
      <t>Area</t>
    </r>
    <r>
      <rPr>
        <b/>
        <sz val="11"/>
        <rFont val="Arial"/>
        <family val="2"/>
      </rPr>
      <t>: Dry Etch</t>
    </r>
  </si>
  <si>
    <r>
      <t>Tool</t>
    </r>
    <r>
      <rPr>
        <b/>
        <sz val="11"/>
        <rFont val="Arial"/>
        <family val="2"/>
      </rPr>
      <t>: REPL1</t>
    </r>
  </si>
  <si>
    <r>
      <t>Pass Criteria for Etch rate</t>
    </r>
    <r>
      <rPr>
        <b/>
        <sz val="11"/>
        <rFont val="Arial"/>
        <family val="2"/>
      </rPr>
      <t>: LSL=10000 A/min USL Not defined</t>
    </r>
  </si>
  <si>
    <r>
      <t>Tool</t>
    </r>
    <r>
      <rPr>
        <b/>
        <sz val="11"/>
        <rFont val="Arial"/>
        <family val="2"/>
      </rPr>
      <t>: ASFE1</t>
    </r>
  </si>
  <si>
    <r>
      <t xml:space="preserve">QC Name: </t>
    </r>
    <r>
      <rPr>
        <sz val="11"/>
        <color theme="1"/>
        <rFont val="Calibri"/>
        <family val="2"/>
        <scheme val="minor"/>
      </rPr>
      <t>ASH09/ASFE1 CP TEST</t>
    </r>
  </si>
  <si>
    <r>
      <t>Recipe</t>
    </r>
    <r>
      <rPr>
        <sz val="11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</si>
  <si>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1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</si>
  <si>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1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</si>
  <si>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1"/>
        <color theme="1"/>
        <rFont val="Calibri"/>
        <family val="2"/>
        <scheme val="minor"/>
      </rPr>
      <t>:  LSL = 0, USL = 100,LCL=0 , UCL=50</t>
    </r>
  </si>
  <si>
    <t>Date (MM/DD/YY)</t>
  </si>
  <si>
    <t>Frequency: 96 hrs</t>
  </si>
  <si>
    <t xml:space="preserve">                                                                               Measurment Tool Recipe: etch\lam\viastrip</t>
  </si>
  <si>
    <t>Etch Rate Å/Min</t>
  </si>
  <si>
    <r>
      <t>QC Name</t>
    </r>
    <r>
      <rPr>
        <sz val="11"/>
        <color theme="1"/>
        <rFont val="Calibri"/>
        <family val="2"/>
        <scheme val="minor"/>
      </rPr>
      <t>: ASH Rate</t>
    </r>
  </si>
  <si>
    <r>
      <t>Wafer Type</t>
    </r>
    <r>
      <rPr>
        <b/>
        <sz val="11"/>
        <rFont val="Arial"/>
        <family val="2"/>
      </rPr>
      <t>:PAD PR</t>
    </r>
  </si>
  <si>
    <r>
      <t xml:space="preserve">wafer taken from </t>
    </r>
    <r>
      <rPr>
        <b/>
        <sz val="11"/>
        <rFont val="Arial"/>
        <family val="2"/>
      </rPr>
      <t>previous</t>
    </r>
    <r>
      <rPr>
        <sz val="11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</si>
  <si>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1"/>
        <rFont val="Arial"/>
        <family val="2"/>
      </rPr>
      <t>different</t>
    </r>
    <r>
      <rPr>
        <sz val="11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</si>
  <si>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1"/>
        <rFont val="Arial"/>
        <family val="2"/>
      </rPr>
      <t>new</t>
    </r>
    <r>
      <rPr>
        <sz val="11"/>
        <color theme="1"/>
        <rFont val="Calibri"/>
        <family val="2"/>
        <scheme val="minor"/>
      </rPr>
      <t xml:space="preserve"> bank (coating done instantly)</t>
    </r>
  </si>
  <si>
    <t>Pre Thickness  Å</t>
  </si>
  <si>
    <t>YEDR1 (LPDN pre 119post 119)</t>
  </si>
</sst>
</file>

<file path=xl/styles.xml><?xml version="1.0" encoding="utf-8"?>
<styleSheet xmlns="http://schemas.openxmlformats.org/spreadsheetml/2006/main">
  <numFmts count="1">
    <numFmt numFmtId="164" formatCode="mm\/dd\/yyyy"/>
  </numFmts>
  <fonts count="13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12"/>
      <name val="Calibri"/>
      <family val="2"/>
    </font>
    <font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3" fillId="0" borderId="0"/>
  </cellStyleXfs>
  <cellXfs count="126">
    <xf numFmtId="0" fontId="0" fillId="0" borderId="0" xfId="0"/>
    <xf numFmtId="0" fontId="4" fillId="0" borderId="0" xfId="0" applyFont="1"/>
    <xf numFmtId="164" fontId="8" fillId="2" borderId="5" xfId="0" applyNumberFormat="1" applyFont="1" applyFill="1" applyBorder="1" applyAlignment="1"/>
    <xf numFmtId="0" fontId="8" fillId="2" borderId="6" xfId="0" applyFont="1" applyFill="1" applyBorder="1" applyAlignment="1"/>
    <xf numFmtId="0" fontId="8" fillId="2" borderId="7" xfId="0" applyFont="1" applyFill="1" applyBorder="1" applyAlignment="1"/>
    <xf numFmtId="0" fontId="8" fillId="2" borderId="0" xfId="0" applyFont="1" applyFill="1" applyAlignment="1">
      <alignment horizontal="center"/>
    </xf>
    <xf numFmtId="0" fontId="8" fillId="2" borderId="0" xfId="0" applyFont="1" applyFill="1" applyAlignment="1"/>
    <xf numFmtId="164" fontId="8" fillId="2" borderId="3" xfId="0" applyNumberFormat="1" applyFont="1" applyFill="1" applyBorder="1" applyAlignment="1"/>
    <xf numFmtId="0" fontId="8" fillId="2" borderId="0" xfId="0" applyFont="1" applyFill="1" applyBorder="1" applyAlignment="1"/>
    <xf numFmtId="0" fontId="10" fillId="2" borderId="0" xfId="0" applyFont="1" applyFill="1" applyBorder="1"/>
    <xf numFmtId="0" fontId="10" fillId="2" borderId="8" xfId="0" applyFont="1" applyFill="1" applyBorder="1"/>
    <xf numFmtId="0" fontId="10" fillId="0" borderId="0" xfId="0" applyFont="1" applyBorder="1"/>
    <xf numFmtId="0" fontId="9" fillId="2" borderId="0" xfId="0" applyFont="1" applyFill="1" applyBorder="1" applyAlignment="1"/>
    <xf numFmtId="0" fontId="8" fillId="2" borderId="8" xfId="0" applyFont="1" applyFill="1" applyBorder="1" applyAlignment="1">
      <alignment horizontal="right"/>
    </xf>
    <xf numFmtId="164" fontId="8" fillId="2" borderId="3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0" fontId="9" fillId="2" borderId="0" xfId="0" applyFont="1" applyFill="1" applyBorder="1"/>
    <xf numFmtId="0" fontId="9" fillId="2" borderId="8" xfId="0" applyFont="1" applyFill="1" applyBorder="1"/>
    <xf numFmtId="0" fontId="9" fillId="2" borderId="8" xfId="0" applyFont="1" applyFill="1" applyBorder="1" applyAlignment="1"/>
    <xf numFmtId="164" fontId="9" fillId="2" borderId="3" xfId="0" applyNumberFormat="1" applyFont="1" applyFill="1" applyBorder="1" applyAlignment="1"/>
    <xf numFmtId="0" fontId="10" fillId="0" borderId="9" xfId="0" applyFont="1" applyBorder="1" applyAlignment="1">
      <alignment vertical="top" wrapText="1"/>
    </xf>
    <xf numFmtId="0" fontId="10" fillId="0" borderId="1" xfId="0" applyFont="1" applyBorder="1" applyAlignment="1">
      <alignment vertical="top" wrapText="1"/>
    </xf>
    <xf numFmtId="0" fontId="10" fillId="0" borderId="10" xfId="0" applyFont="1" applyBorder="1" applyAlignment="1">
      <alignment vertical="top" wrapText="1"/>
    </xf>
    <xf numFmtId="0" fontId="10" fillId="0" borderId="10" xfId="0" applyFont="1" applyBorder="1" applyAlignment="1">
      <alignment horizontal="center" wrapText="1"/>
    </xf>
    <xf numFmtId="0" fontId="10" fillId="0" borderId="2" xfId="0" applyFont="1" applyBorder="1" applyAlignment="1">
      <alignment vertical="top" wrapText="1"/>
    </xf>
    <xf numFmtId="0" fontId="10" fillId="0" borderId="2" xfId="0" applyFont="1" applyBorder="1" applyAlignment="1">
      <alignment horizontal="center" wrapText="1"/>
    </xf>
    <xf numFmtId="0" fontId="10" fillId="0" borderId="2" xfId="0" applyFont="1" applyBorder="1" applyAlignment="1">
      <alignment vertical="top"/>
    </xf>
    <xf numFmtId="0" fontId="10" fillId="0" borderId="1" xfId="0" applyFont="1" applyBorder="1" applyAlignment="1">
      <alignment horizontal="center" wrapText="1"/>
    </xf>
    <xf numFmtId="0" fontId="10" fillId="0" borderId="4" xfId="0" applyFont="1" applyBorder="1" applyAlignment="1">
      <alignment vertical="top" wrapText="1"/>
    </xf>
    <xf numFmtId="0" fontId="10" fillId="0" borderId="4" xfId="0" applyFont="1" applyBorder="1" applyAlignment="1">
      <alignment vertical="top"/>
    </xf>
    <xf numFmtId="0" fontId="7" fillId="0" borderId="2" xfId="0" applyFont="1" applyBorder="1" applyAlignment="1">
      <alignment vertical="top" wrapText="1"/>
    </xf>
    <xf numFmtId="0" fontId="8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164" fontId="8" fillId="2" borderId="1" xfId="0" applyNumberFormat="1" applyFont="1" applyFill="1" applyBorder="1" applyAlignment="1">
      <alignment horizontal="left"/>
    </xf>
    <xf numFmtId="0" fontId="8" fillId="2" borderId="1" xfId="0" applyFont="1" applyFill="1" applyBorder="1" applyAlignment="1"/>
    <xf numFmtId="0" fontId="9" fillId="2" borderId="1" xfId="0" applyFont="1" applyFill="1" applyBorder="1" applyAlignment="1"/>
    <xf numFmtId="0" fontId="10" fillId="2" borderId="1" xfId="0" applyFont="1" applyFill="1" applyBorder="1"/>
    <xf numFmtId="0" fontId="8" fillId="2" borderId="1" xfId="0" applyFont="1" applyFill="1" applyBorder="1" applyAlignment="1">
      <alignment horizontal="right"/>
    </xf>
    <xf numFmtId="0" fontId="8" fillId="2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10" fillId="0" borderId="1" xfId="0" applyFont="1" applyBorder="1"/>
    <xf numFmtId="0" fontId="9" fillId="2" borderId="0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 wrapText="1"/>
    </xf>
    <xf numFmtId="0" fontId="6" fillId="0" borderId="0" xfId="0" applyFont="1"/>
    <xf numFmtId="0" fontId="9" fillId="0" borderId="1" xfId="0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10" fillId="0" borderId="1" xfId="0" applyFont="1" applyFill="1" applyBorder="1" applyAlignment="1">
      <alignment horizontal="center" vertical="top"/>
    </xf>
    <xf numFmtId="0" fontId="2" fillId="0" borderId="1" xfId="0" applyFont="1" applyBorder="1"/>
    <xf numFmtId="0" fontId="2" fillId="0" borderId="1" xfId="0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0" fontId="2" fillId="0" borderId="0" xfId="0" applyFont="1" applyBorder="1"/>
    <xf numFmtId="164" fontId="9" fillId="0" borderId="2" xfId="0" applyNumberFormat="1" applyFont="1" applyBorder="1" applyAlignment="1">
      <alignment vertical="center" wrapText="1"/>
    </xf>
    <xf numFmtId="0" fontId="9" fillId="0" borderId="2" xfId="0" applyFont="1" applyBorder="1" applyAlignment="1">
      <alignment vertical="center"/>
    </xf>
    <xf numFmtId="0" fontId="0" fillId="0" borderId="0" xfId="0" applyAlignment="1">
      <alignment wrapText="1"/>
    </xf>
    <xf numFmtId="0" fontId="9" fillId="0" borderId="2" xfId="0" applyFont="1" applyBorder="1" applyAlignment="1">
      <alignment vertical="center" wrapText="1"/>
    </xf>
    <xf numFmtId="0" fontId="6" fillId="0" borderId="2" xfId="0" applyFont="1" applyBorder="1" applyAlignment="1">
      <alignment vertical="center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right"/>
    </xf>
    <xf numFmtId="0" fontId="9" fillId="2" borderId="2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center" vertical="top"/>
    </xf>
    <xf numFmtId="0" fontId="11" fillId="2" borderId="0" xfId="0" applyFont="1" applyFill="1" applyBorder="1" applyAlignment="1">
      <alignment horizontal="left" vertical="center"/>
    </xf>
    <xf numFmtId="0" fontId="12" fillId="0" borderId="0" xfId="0" applyNumberFormat="1" applyFont="1" applyFill="1" applyBorder="1" applyAlignment="1" applyProtection="1"/>
    <xf numFmtId="0" fontId="1" fillId="0" borderId="0" xfId="1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Border="1" applyAlignment="1"/>
    <xf numFmtId="0" fontId="1" fillId="2" borderId="0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164" fontId="9" fillId="2" borderId="17" xfId="0" applyNumberFormat="1" applyFont="1" applyFill="1" applyBorder="1" applyAlignment="1"/>
    <xf numFmtId="0" fontId="9" fillId="2" borderId="18" xfId="0" applyFont="1" applyFill="1" applyBorder="1" applyAlignment="1"/>
    <xf numFmtId="0" fontId="10" fillId="2" borderId="18" xfId="0" applyFont="1" applyFill="1" applyBorder="1"/>
    <xf numFmtId="0" fontId="10" fillId="2" borderId="19" xfId="0" applyFont="1" applyFill="1" applyBorder="1"/>
    <xf numFmtId="0" fontId="9" fillId="2" borderId="19" xfId="0" applyFont="1" applyFill="1" applyBorder="1" applyAlignment="1"/>
    <xf numFmtId="164" fontId="10" fillId="0" borderId="1" xfId="0" applyNumberFormat="1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top" wrapText="1"/>
    </xf>
    <xf numFmtId="0" fontId="10" fillId="0" borderId="21" xfId="0" applyFont="1" applyBorder="1" applyAlignment="1">
      <alignment vertical="top" wrapText="1"/>
    </xf>
    <xf numFmtId="0" fontId="10" fillId="0" borderId="22" xfId="0" applyFont="1" applyBorder="1" applyAlignment="1">
      <alignment vertical="top" wrapText="1"/>
    </xf>
    <xf numFmtId="0" fontId="10" fillId="0" borderId="23" xfId="0" applyFont="1" applyBorder="1" applyAlignment="1">
      <alignment vertical="top" wrapText="1"/>
    </xf>
    <xf numFmtId="0" fontId="10" fillId="0" borderId="24" xfId="0" applyFont="1" applyBorder="1" applyAlignment="1">
      <alignment horizontal="center" vertical="top" wrapText="1"/>
    </xf>
    <xf numFmtId="0" fontId="10" fillId="0" borderId="0" xfId="0" applyFont="1"/>
    <xf numFmtId="164" fontId="1" fillId="0" borderId="25" xfId="0" applyNumberFormat="1" applyFont="1" applyBorder="1" applyAlignment="1">
      <alignment vertical="top"/>
    </xf>
    <xf numFmtId="0" fontId="10" fillId="0" borderId="11" xfId="0" applyFont="1" applyBorder="1" applyAlignment="1">
      <alignment vertical="top" wrapText="1"/>
    </xf>
    <xf numFmtId="0" fontId="10" fillId="0" borderId="11" xfId="0" applyFont="1" applyBorder="1" applyAlignment="1">
      <alignment vertical="top"/>
    </xf>
    <xf numFmtId="0" fontId="10" fillId="0" borderId="14" xfId="0" applyFont="1" applyBorder="1" applyAlignment="1">
      <alignment vertical="top" wrapText="1"/>
    </xf>
    <xf numFmtId="0" fontId="1" fillId="0" borderId="3" xfId="0" applyFont="1" applyBorder="1" applyAlignment="1"/>
    <xf numFmtId="0" fontId="1" fillId="0" borderId="8" xfId="0" applyFont="1" applyBorder="1" applyAlignment="1">
      <alignment vertical="top"/>
    </xf>
    <xf numFmtId="0" fontId="10" fillId="0" borderId="12" xfId="0" applyFont="1" applyBorder="1" applyAlignment="1">
      <alignment vertical="top" wrapText="1"/>
    </xf>
    <xf numFmtId="0" fontId="10" fillId="0" borderId="12" xfId="0" applyFont="1" applyBorder="1" applyAlignment="1">
      <alignment vertical="top"/>
    </xf>
    <xf numFmtId="0" fontId="1" fillId="0" borderId="15" xfId="0" applyFont="1" applyBorder="1" applyAlignment="1">
      <alignment vertical="top" wrapText="1"/>
    </xf>
    <xf numFmtId="0" fontId="1" fillId="0" borderId="26" xfId="0" applyFont="1" applyBorder="1" applyAlignment="1">
      <alignment vertical="top"/>
    </xf>
    <xf numFmtId="0" fontId="10" fillId="0" borderId="13" xfId="0" applyFont="1" applyBorder="1" applyAlignment="1">
      <alignment vertical="top" wrapText="1"/>
    </xf>
    <xf numFmtId="0" fontId="10" fillId="0" borderId="13" xfId="0" applyFont="1" applyBorder="1" applyAlignment="1">
      <alignment vertical="top"/>
    </xf>
    <xf numFmtId="0" fontId="1" fillId="0" borderId="16" xfId="0" applyFont="1" applyBorder="1" applyAlignment="1">
      <alignment vertical="top" wrapText="1"/>
    </xf>
    <xf numFmtId="164" fontId="1" fillId="0" borderId="25" xfId="0" applyNumberFormat="1" applyFont="1" applyBorder="1" applyAlignment="1"/>
    <xf numFmtId="0" fontId="1" fillId="0" borderId="8" xfId="0" applyFont="1" applyBorder="1" applyAlignment="1"/>
    <xf numFmtId="0" fontId="1" fillId="0" borderId="26" xfId="0" applyFont="1" applyBorder="1" applyAlignment="1"/>
    <xf numFmtId="0" fontId="9" fillId="0" borderId="0" xfId="0" applyFont="1"/>
    <xf numFmtId="164" fontId="1" fillId="0" borderId="1" xfId="0" applyNumberFormat="1" applyFont="1" applyBorder="1" applyAlignment="1">
      <alignment horizontal="left"/>
    </xf>
    <xf numFmtId="0" fontId="10" fillId="0" borderId="14" xfId="0" applyFont="1" applyBorder="1" applyAlignment="1">
      <alignment horizontal="right" vertical="top" wrapText="1"/>
    </xf>
    <xf numFmtId="0" fontId="1" fillId="0" borderId="6" xfId="0" applyFont="1" applyBorder="1"/>
    <xf numFmtId="0" fontId="10" fillId="0" borderId="27" xfId="0" applyFont="1" applyBorder="1" applyAlignment="1">
      <alignment vertical="top" wrapText="1"/>
    </xf>
    <xf numFmtId="0" fontId="1" fillId="0" borderId="19" xfId="0" applyFont="1" applyBorder="1" applyAlignment="1"/>
    <xf numFmtId="0" fontId="1" fillId="0" borderId="28" xfId="0" applyFont="1" applyBorder="1" applyAlignment="1">
      <alignment vertical="top" wrapText="1"/>
    </xf>
    <xf numFmtId="164" fontId="1" fillId="0" borderId="4" xfId="0" applyNumberFormat="1" applyFont="1" applyBorder="1" applyAlignment="1">
      <alignment horizontal="left"/>
    </xf>
    <xf numFmtId="0" fontId="10" fillId="0" borderId="15" xfId="0" applyFont="1" applyBorder="1" applyAlignment="1">
      <alignment vertical="top" wrapText="1"/>
    </xf>
    <xf numFmtId="0" fontId="10" fillId="0" borderId="27" xfId="0" applyFont="1" applyBorder="1" applyAlignment="1">
      <alignment horizontal="right" vertical="top" wrapText="1"/>
    </xf>
    <xf numFmtId="0" fontId="1" fillId="0" borderId="0" xfId="0" applyFont="1" applyFill="1" applyBorder="1"/>
    <xf numFmtId="0" fontId="10" fillId="0" borderId="29" xfId="0" applyFont="1" applyBorder="1" applyAlignment="1">
      <alignment horizontal="left" vertical="center" wrapText="1"/>
    </xf>
    <xf numFmtId="0" fontId="10" fillId="0" borderId="29" xfId="0" applyFont="1" applyBorder="1" applyAlignment="1">
      <alignment horizontal="left" vertical="center"/>
    </xf>
    <xf numFmtId="0" fontId="1" fillId="0" borderId="15" xfId="0" applyFont="1" applyBorder="1" applyAlignment="1">
      <alignment horizontal="right" vertical="top" wrapText="1"/>
    </xf>
    <xf numFmtId="0" fontId="1" fillId="0" borderId="16" xfId="0" applyFont="1" applyBorder="1" applyAlignment="1">
      <alignment horizontal="right" vertical="top" wrapText="1"/>
    </xf>
    <xf numFmtId="164" fontId="1" fillId="0" borderId="0" xfId="0" applyNumberFormat="1" applyFont="1"/>
    <xf numFmtId="0" fontId="1" fillId="0" borderId="1" xfId="0" applyFont="1" applyBorder="1"/>
  </cellXfs>
  <cellStyles count="2">
    <cellStyle name="Normal" xfId="0" builtinId="0"/>
    <cellStyle name="Normal 7" xfId="1"/>
  </cellStyles>
  <dxfs count="402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619125</xdr:colOff>
      <xdr:row>2</xdr:row>
      <xdr:rowOff>123823</xdr:rowOff>
    </xdr:from>
    <xdr:to>
      <xdr:col>7</xdr:col>
      <xdr:colOff>2143125</xdr:colOff>
      <xdr:row>21</xdr:row>
      <xdr:rowOff>9524</xdr:rowOff>
    </xdr:to>
    <xdr:pic>
      <xdr:nvPicPr>
        <xdr:cNvPr id="14" name="ASF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0" y="523873"/>
          <a:ext cx="6315075" cy="36861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932"/>
  <sheetViews>
    <sheetView zoomScale="80" zoomScaleNormal="80" workbookViewId="0">
      <pane ySplit="10" topLeftCell="A17" activePane="bottomLeft" state="frozen"/>
      <selection pane="bottomLeft" activeCell="G21" sqref="G21"/>
    </sheetView>
  </sheetViews>
  <sheetFormatPr defaultColWidth="11" defaultRowHeight="15"/>
  <cols>
    <col min="1" max="1" width="10.75" style="50" customWidth="1"/>
    <col min="2" max="6" width="11" style="53"/>
    <col min="7" max="7" width="47.875" style="53" customWidth="1"/>
    <col min="8" max="8" width="31.5" style="58" customWidth="1"/>
    <col min="9" max="9" width="11" style="40"/>
    <col min="10" max="10" width="11" style="41"/>
    <col min="11" max="16384" width="11" style="42"/>
  </cols>
  <sheetData>
    <row r="1" spans="1:10" s="6" customFormat="1">
      <c r="A1" s="66" t="s">
        <v>11</v>
      </c>
      <c r="B1" s="66"/>
      <c r="C1" s="66"/>
      <c r="D1" s="66"/>
      <c r="E1" s="66"/>
      <c r="F1" s="66"/>
      <c r="G1" s="66"/>
      <c r="H1" s="31"/>
      <c r="I1" s="32"/>
      <c r="J1" s="33"/>
    </row>
    <row r="2" spans="1:10">
      <c r="A2" s="34" t="s">
        <v>268</v>
      </c>
      <c r="B2" s="35"/>
      <c r="C2" s="35"/>
      <c r="D2" s="35"/>
      <c r="E2" s="36"/>
      <c r="F2" s="37"/>
      <c r="G2" s="38" t="s">
        <v>271</v>
      </c>
      <c r="H2" s="39"/>
    </row>
    <row r="3" spans="1:10">
      <c r="A3" s="34" t="s">
        <v>272</v>
      </c>
      <c r="B3" s="35"/>
      <c r="C3" s="35"/>
      <c r="D3" s="35"/>
      <c r="E3" s="36"/>
      <c r="F3" s="43"/>
      <c r="G3" s="38"/>
      <c r="H3" s="39"/>
    </row>
    <row r="4" spans="1:10">
      <c r="A4" s="34" t="s">
        <v>273</v>
      </c>
      <c r="B4" s="36"/>
      <c r="C4" s="36"/>
      <c r="D4" s="36"/>
      <c r="E4" s="67" t="s">
        <v>12</v>
      </c>
      <c r="F4" s="67"/>
      <c r="G4" s="67"/>
      <c r="H4" s="44"/>
    </row>
    <row r="5" spans="1:10">
      <c r="A5" s="34" t="s">
        <v>274</v>
      </c>
      <c r="B5" s="36"/>
      <c r="C5" s="36"/>
      <c r="D5" s="36"/>
      <c r="E5" s="45"/>
      <c r="F5" s="45"/>
      <c r="G5" s="45"/>
      <c r="H5" s="46"/>
    </row>
    <row r="6" spans="1:10">
      <c r="A6" s="34" t="s">
        <v>275</v>
      </c>
      <c r="B6" s="36"/>
      <c r="C6" s="36"/>
      <c r="D6" s="36"/>
      <c r="E6" s="36"/>
      <c r="F6" s="36"/>
      <c r="G6" s="36"/>
      <c r="H6" s="12"/>
    </row>
    <row r="7" spans="1:10">
      <c r="A7" s="34" t="s">
        <v>276</v>
      </c>
      <c r="B7" s="36"/>
      <c r="C7" s="36"/>
      <c r="D7" s="36"/>
      <c r="E7" s="36"/>
      <c r="F7" s="36"/>
      <c r="G7" s="36"/>
      <c r="H7" s="12"/>
    </row>
    <row r="8" spans="1:10">
      <c r="A8" s="68"/>
      <c r="B8" s="68"/>
      <c r="C8" s="68"/>
      <c r="D8" s="68"/>
      <c r="E8" s="68"/>
      <c r="F8" s="68"/>
      <c r="G8" s="68"/>
      <c r="H8" s="47"/>
    </row>
    <row r="9" spans="1:10" s="48" customFormat="1" ht="29.25" customHeight="1">
      <c r="B9" s="69" t="s">
        <v>13</v>
      </c>
      <c r="C9" s="70"/>
    </row>
    <row r="10" spans="1:10" s="48" customFormat="1" ht="45">
      <c r="A10" s="59" t="s">
        <v>277</v>
      </c>
      <c r="B10" s="49" t="s">
        <v>20</v>
      </c>
      <c r="C10" s="49" t="s">
        <v>21</v>
      </c>
      <c r="D10" s="60" t="s">
        <v>267</v>
      </c>
      <c r="E10" s="60" t="s">
        <v>14</v>
      </c>
      <c r="F10" s="62" t="s">
        <v>15</v>
      </c>
      <c r="G10" s="60" t="s">
        <v>16</v>
      </c>
      <c r="H10" s="60" t="s">
        <v>17</v>
      </c>
      <c r="I10" s="63" t="s">
        <v>18</v>
      </c>
      <c r="J10" s="63" t="s">
        <v>19</v>
      </c>
    </row>
    <row r="11" spans="1:10">
      <c r="A11" s="50">
        <v>42736</v>
      </c>
      <c r="B11" s="51">
        <v>9</v>
      </c>
      <c r="C11" s="51">
        <v>9</v>
      </c>
      <c r="D11" s="51">
        <f t="shared" ref="D11:D74" si="0">IF(((B11="")*AND(C11="")),"",(C11-B11))</f>
        <v>0</v>
      </c>
      <c r="E11" s="52" t="str">
        <f>IF((D11=""),"",IF(D11&lt;=50,"Pass","Fail"))</f>
        <v>Pass</v>
      </c>
      <c r="F11" s="51">
        <v>1400</v>
      </c>
      <c r="G11" s="53" t="s">
        <v>22</v>
      </c>
      <c r="H11" s="53"/>
      <c r="I11" s="54">
        <v>100</v>
      </c>
      <c r="J11" s="54">
        <v>50</v>
      </c>
    </row>
    <row r="12" spans="1:10">
      <c r="A12" s="50">
        <v>42741</v>
      </c>
      <c r="B12" s="51">
        <v>4</v>
      </c>
      <c r="C12" s="51">
        <v>13</v>
      </c>
      <c r="D12" s="51">
        <f t="shared" si="0"/>
        <v>9</v>
      </c>
      <c r="E12" s="52" t="str">
        <f t="shared" ref="E12:E75" si="1">IF((D12=""),"",IF(D12&lt;=50,"Pass","Fail"))</f>
        <v>Pass</v>
      </c>
      <c r="F12" s="51">
        <v>1335</v>
      </c>
      <c r="G12" s="53" t="s">
        <v>23</v>
      </c>
      <c r="H12" s="53"/>
      <c r="I12" s="54">
        <v>100</v>
      </c>
      <c r="J12" s="54">
        <v>50</v>
      </c>
    </row>
    <row r="13" spans="1:10">
      <c r="A13" s="50">
        <v>42745</v>
      </c>
      <c r="B13" s="51">
        <v>10</v>
      </c>
      <c r="C13" s="51">
        <v>12</v>
      </c>
      <c r="D13" s="51">
        <f t="shared" si="0"/>
        <v>2</v>
      </c>
      <c r="E13" s="52" t="str">
        <f t="shared" si="1"/>
        <v>Pass</v>
      </c>
      <c r="F13" s="51">
        <v>1159</v>
      </c>
      <c r="G13" s="53" t="s">
        <v>24</v>
      </c>
      <c r="H13" s="53"/>
      <c r="I13" s="54">
        <v>100</v>
      </c>
      <c r="J13" s="54">
        <v>50</v>
      </c>
    </row>
    <row r="14" spans="1:10">
      <c r="A14" s="50">
        <v>42759</v>
      </c>
      <c r="B14" s="51">
        <v>19</v>
      </c>
      <c r="C14" s="51">
        <v>79</v>
      </c>
      <c r="D14" s="51">
        <f t="shared" si="0"/>
        <v>60</v>
      </c>
      <c r="E14" s="52" t="str">
        <f t="shared" si="1"/>
        <v>Fail</v>
      </c>
      <c r="F14" s="51">
        <v>1159</v>
      </c>
      <c r="G14" s="53" t="s">
        <v>25</v>
      </c>
      <c r="H14" s="53"/>
      <c r="I14" s="54">
        <v>100</v>
      </c>
      <c r="J14" s="54">
        <v>50</v>
      </c>
    </row>
    <row r="15" spans="1:10">
      <c r="A15" s="50">
        <v>42764</v>
      </c>
      <c r="B15" s="51">
        <v>35</v>
      </c>
      <c r="C15" s="51">
        <v>38</v>
      </c>
      <c r="D15" s="51">
        <f t="shared" si="0"/>
        <v>3</v>
      </c>
      <c r="E15" s="52" t="str">
        <f t="shared" si="1"/>
        <v>Pass</v>
      </c>
      <c r="F15" s="51">
        <v>1400</v>
      </c>
      <c r="G15" s="53" t="s">
        <v>23</v>
      </c>
      <c r="H15" s="53"/>
      <c r="I15" s="54">
        <v>100</v>
      </c>
      <c r="J15" s="54">
        <v>50</v>
      </c>
    </row>
    <row r="16" spans="1:10">
      <c r="A16" s="50">
        <v>42768</v>
      </c>
      <c r="B16" s="51">
        <v>14</v>
      </c>
      <c r="C16" s="51">
        <v>20</v>
      </c>
      <c r="D16" s="51">
        <f t="shared" si="0"/>
        <v>6</v>
      </c>
      <c r="E16" s="52" t="str">
        <f t="shared" si="1"/>
        <v>Pass</v>
      </c>
      <c r="F16" s="51">
        <v>1159</v>
      </c>
      <c r="G16" s="53" t="s">
        <v>26</v>
      </c>
      <c r="H16" s="53"/>
      <c r="I16" s="54">
        <v>100</v>
      </c>
      <c r="J16" s="54">
        <v>50</v>
      </c>
    </row>
    <row r="17" spans="1:10">
      <c r="A17" s="50">
        <v>42772</v>
      </c>
      <c r="B17" s="51">
        <v>20</v>
      </c>
      <c r="C17" s="51">
        <v>35</v>
      </c>
      <c r="D17" s="51">
        <f t="shared" si="0"/>
        <v>15</v>
      </c>
      <c r="E17" s="52" t="str">
        <f t="shared" si="1"/>
        <v>Pass</v>
      </c>
      <c r="F17" s="51">
        <v>1400</v>
      </c>
      <c r="G17" s="53" t="s">
        <v>27</v>
      </c>
      <c r="H17" s="53"/>
      <c r="I17" s="54">
        <v>100</v>
      </c>
      <c r="J17" s="54">
        <v>50</v>
      </c>
    </row>
    <row r="18" spans="1:10">
      <c r="A18" s="50">
        <v>42779</v>
      </c>
      <c r="B18" s="51">
        <v>6</v>
      </c>
      <c r="C18" s="51">
        <v>40</v>
      </c>
      <c r="D18" s="51">
        <f t="shared" si="0"/>
        <v>34</v>
      </c>
      <c r="E18" s="52" t="str">
        <f t="shared" si="1"/>
        <v>Pass</v>
      </c>
      <c r="F18" s="51">
        <v>1335</v>
      </c>
      <c r="G18" s="53" t="s">
        <v>23</v>
      </c>
      <c r="H18" s="53"/>
      <c r="I18" s="54">
        <v>100</v>
      </c>
      <c r="J18" s="54">
        <v>50</v>
      </c>
    </row>
    <row r="19" spans="1:10">
      <c r="A19" s="50">
        <v>42788</v>
      </c>
      <c r="B19" s="51">
        <v>13</v>
      </c>
      <c r="C19" s="51">
        <v>18</v>
      </c>
      <c r="D19" s="51">
        <f t="shared" si="0"/>
        <v>5</v>
      </c>
      <c r="E19" s="52" t="str">
        <f t="shared" si="1"/>
        <v>Pass</v>
      </c>
      <c r="F19" s="51">
        <v>1400</v>
      </c>
      <c r="G19" s="53" t="s">
        <v>28</v>
      </c>
      <c r="H19" s="53"/>
      <c r="I19" s="54">
        <v>100</v>
      </c>
      <c r="J19" s="54">
        <v>50</v>
      </c>
    </row>
    <row r="20" spans="1:10">
      <c r="A20" s="50">
        <v>42793</v>
      </c>
      <c r="B20" s="51">
        <v>20</v>
      </c>
      <c r="C20" s="51">
        <v>21</v>
      </c>
      <c r="D20" s="51">
        <f t="shared" si="0"/>
        <v>1</v>
      </c>
      <c r="E20" s="52" t="str">
        <f t="shared" si="1"/>
        <v>Pass</v>
      </c>
      <c r="F20" s="51">
        <v>1400</v>
      </c>
      <c r="G20" s="125" t="s">
        <v>287</v>
      </c>
      <c r="H20" s="53"/>
      <c r="I20" s="54">
        <v>100</v>
      </c>
      <c r="J20" s="54">
        <v>50</v>
      </c>
    </row>
    <row r="21" spans="1:10">
      <c r="A21" s="50">
        <v>42800</v>
      </c>
      <c r="B21" s="51">
        <v>21</v>
      </c>
      <c r="C21" s="51">
        <v>31</v>
      </c>
      <c r="D21" s="51">
        <f t="shared" si="0"/>
        <v>10</v>
      </c>
      <c r="E21" s="52" t="str">
        <f t="shared" si="1"/>
        <v>Pass</v>
      </c>
      <c r="F21" s="51">
        <v>1400</v>
      </c>
      <c r="G21" s="53" t="s">
        <v>29</v>
      </c>
      <c r="H21" s="53"/>
      <c r="I21" s="54">
        <v>100</v>
      </c>
      <c r="J21" s="54">
        <v>50</v>
      </c>
    </row>
    <row r="22" spans="1:10">
      <c r="A22" s="50">
        <v>42804</v>
      </c>
      <c r="B22" s="51">
        <v>32</v>
      </c>
      <c r="C22" s="51">
        <v>36</v>
      </c>
      <c r="D22" s="51">
        <f t="shared" si="0"/>
        <v>4</v>
      </c>
      <c r="E22" s="52" t="str">
        <f t="shared" si="1"/>
        <v>Pass</v>
      </c>
      <c r="F22" s="51">
        <v>1400</v>
      </c>
      <c r="G22" s="53" t="s">
        <v>30</v>
      </c>
      <c r="H22" s="53"/>
      <c r="I22" s="54">
        <v>100</v>
      </c>
      <c r="J22" s="54">
        <v>50</v>
      </c>
    </row>
    <row r="23" spans="1:10">
      <c r="A23" s="50">
        <v>42814</v>
      </c>
      <c r="B23" s="51">
        <v>47</v>
      </c>
      <c r="C23" s="51">
        <v>69</v>
      </c>
      <c r="D23" s="51">
        <f t="shared" si="0"/>
        <v>22</v>
      </c>
      <c r="E23" s="52" t="str">
        <f t="shared" si="1"/>
        <v>Pass</v>
      </c>
      <c r="F23" s="51">
        <v>1428</v>
      </c>
      <c r="H23" s="53"/>
      <c r="I23" s="54">
        <v>100</v>
      </c>
      <c r="J23" s="54">
        <v>50</v>
      </c>
    </row>
    <row r="24" spans="1:10">
      <c r="A24" s="50">
        <v>42830</v>
      </c>
      <c r="B24" s="51">
        <v>50</v>
      </c>
      <c r="C24" s="51">
        <v>58</v>
      </c>
      <c r="D24" s="51">
        <f t="shared" si="0"/>
        <v>8</v>
      </c>
      <c r="E24" s="52" t="str">
        <f t="shared" si="1"/>
        <v>Pass</v>
      </c>
      <c r="F24" s="51">
        <v>1335</v>
      </c>
      <c r="G24" s="53" t="s">
        <v>31</v>
      </c>
      <c r="H24" s="53"/>
      <c r="I24" s="54">
        <v>100</v>
      </c>
      <c r="J24" s="54">
        <v>50</v>
      </c>
    </row>
    <row r="25" spans="1:10">
      <c r="A25" s="50">
        <v>42835</v>
      </c>
      <c r="B25" s="51">
        <v>48</v>
      </c>
      <c r="C25" s="51">
        <v>55</v>
      </c>
      <c r="D25" s="51">
        <f t="shared" si="0"/>
        <v>7</v>
      </c>
      <c r="E25" s="52" t="str">
        <f t="shared" si="1"/>
        <v>Pass</v>
      </c>
      <c r="F25" s="51">
        <v>1400</v>
      </c>
      <c r="G25" s="53" t="s">
        <v>32</v>
      </c>
      <c r="H25" s="53"/>
      <c r="I25" s="54">
        <v>100</v>
      </c>
      <c r="J25" s="54">
        <v>50</v>
      </c>
    </row>
    <row r="26" spans="1:10">
      <c r="A26" s="50">
        <v>42838</v>
      </c>
      <c r="B26" s="51">
        <v>48</v>
      </c>
      <c r="C26" s="51">
        <v>57</v>
      </c>
      <c r="D26" s="51">
        <f t="shared" si="0"/>
        <v>9</v>
      </c>
      <c r="E26" s="52" t="str">
        <f t="shared" si="1"/>
        <v>Pass</v>
      </c>
      <c r="F26" s="51">
        <v>1428</v>
      </c>
      <c r="G26" s="53" t="s">
        <v>33</v>
      </c>
      <c r="H26" s="53"/>
      <c r="I26" s="54">
        <v>100</v>
      </c>
      <c r="J26" s="54">
        <v>50</v>
      </c>
    </row>
    <row r="27" spans="1:10">
      <c r="A27" s="50">
        <v>42838</v>
      </c>
      <c r="B27" s="51">
        <v>8</v>
      </c>
      <c r="C27" s="51">
        <v>11</v>
      </c>
      <c r="D27" s="51">
        <f t="shared" si="0"/>
        <v>3</v>
      </c>
      <c r="E27" s="52" t="str">
        <f>IF((D27=""),"",IF(D27&lt;=50,"Pass","Fail"))</f>
        <v>Pass</v>
      </c>
      <c r="F27" s="51">
        <v>1159</v>
      </c>
      <c r="G27" s="53" t="s">
        <v>34</v>
      </c>
      <c r="H27" s="53"/>
      <c r="I27" s="54">
        <v>100</v>
      </c>
      <c r="J27" s="54">
        <v>50</v>
      </c>
    </row>
    <row r="28" spans="1:10">
      <c r="A28" s="50">
        <v>42843</v>
      </c>
      <c r="B28" s="51">
        <v>1</v>
      </c>
      <c r="C28" s="51">
        <v>16</v>
      </c>
      <c r="D28" s="51">
        <f t="shared" si="0"/>
        <v>15</v>
      </c>
      <c r="E28" s="52" t="str">
        <f t="shared" si="1"/>
        <v>Pass</v>
      </c>
      <c r="F28" s="51">
        <v>1335</v>
      </c>
      <c r="G28" s="53" t="s">
        <v>33</v>
      </c>
      <c r="H28" s="53"/>
      <c r="I28" s="54">
        <v>100</v>
      </c>
      <c r="J28" s="54">
        <v>50</v>
      </c>
    </row>
    <row r="29" spans="1:10">
      <c r="A29" s="50">
        <v>42846</v>
      </c>
      <c r="B29" s="51">
        <v>19</v>
      </c>
      <c r="C29" s="51">
        <v>23</v>
      </c>
      <c r="D29" s="51">
        <f t="shared" si="0"/>
        <v>4</v>
      </c>
      <c r="E29" s="52" t="str">
        <f t="shared" si="1"/>
        <v>Pass</v>
      </c>
      <c r="F29" s="51">
        <v>1159</v>
      </c>
      <c r="G29" s="53" t="s">
        <v>33</v>
      </c>
      <c r="H29" s="53"/>
      <c r="I29" s="54">
        <v>100</v>
      </c>
      <c r="J29" s="54">
        <v>50</v>
      </c>
    </row>
    <row r="30" spans="1:10">
      <c r="A30" s="50">
        <v>42850</v>
      </c>
      <c r="B30" s="51">
        <v>2</v>
      </c>
      <c r="C30" s="51">
        <v>19</v>
      </c>
      <c r="D30" s="51">
        <f t="shared" si="0"/>
        <v>17</v>
      </c>
      <c r="E30" s="52" t="str">
        <f t="shared" si="1"/>
        <v>Pass</v>
      </c>
      <c r="F30" s="51">
        <v>1335</v>
      </c>
      <c r="G30" s="53" t="s">
        <v>33</v>
      </c>
      <c r="H30" s="53"/>
      <c r="I30" s="54">
        <v>100</v>
      </c>
      <c r="J30" s="54">
        <v>50</v>
      </c>
    </row>
    <row r="31" spans="1:10">
      <c r="A31" s="50">
        <v>42851</v>
      </c>
      <c r="B31" s="51">
        <v>1</v>
      </c>
      <c r="C31" s="51">
        <v>2</v>
      </c>
      <c r="D31" s="51">
        <f t="shared" si="0"/>
        <v>1</v>
      </c>
      <c r="E31" s="52" t="str">
        <f t="shared" si="1"/>
        <v>Pass</v>
      </c>
      <c r="F31" s="51">
        <v>1159</v>
      </c>
      <c r="G31" s="53" t="s">
        <v>35</v>
      </c>
      <c r="H31" s="53"/>
      <c r="I31" s="54">
        <v>100</v>
      </c>
      <c r="J31" s="54">
        <v>50</v>
      </c>
    </row>
    <row r="32" spans="1:10">
      <c r="A32" s="50">
        <v>42860</v>
      </c>
      <c r="B32" s="51">
        <v>42</v>
      </c>
      <c r="C32" s="51">
        <v>56</v>
      </c>
      <c r="D32" s="51">
        <f t="shared" si="0"/>
        <v>14</v>
      </c>
      <c r="E32" s="52" t="str">
        <f t="shared" si="1"/>
        <v>Pass</v>
      </c>
      <c r="F32" s="51">
        <v>1335</v>
      </c>
      <c r="G32" s="53" t="s">
        <v>36</v>
      </c>
      <c r="H32" s="53"/>
      <c r="I32" s="54">
        <v>100</v>
      </c>
      <c r="J32" s="54">
        <v>50</v>
      </c>
    </row>
    <row r="33" spans="1:10">
      <c r="A33" s="50">
        <v>42862</v>
      </c>
      <c r="B33" s="51">
        <v>16</v>
      </c>
      <c r="C33" s="51">
        <v>6</v>
      </c>
      <c r="D33" s="51">
        <f t="shared" si="0"/>
        <v>-10</v>
      </c>
      <c r="E33" s="52" t="str">
        <f>IF((D33=""),"",IF(D33&lt;=50,"Pass","Fail"))</f>
        <v>Pass</v>
      </c>
      <c r="F33" s="51">
        <v>1428</v>
      </c>
      <c r="G33" s="53" t="s">
        <v>37</v>
      </c>
      <c r="H33" s="53"/>
      <c r="I33" s="54">
        <v>100</v>
      </c>
      <c r="J33" s="54">
        <v>50</v>
      </c>
    </row>
    <row r="34" spans="1:10">
      <c r="A34" s="50">
        <v>42866</v>
      </c>
      <c r="B34" s="51">
        <v>7</v>
      </c>
      <c r="C34" s="51">
        <v>8</v>
      </c>
      <c r="D34" s="51">
        <f t="shared" si="0"/>
        <v>1</v>
      </c>
      <c r="E34" s="52" t="str">
        <f t="shared" si="1"/>
        <v>Pass</v>
      </c>
      <c r="F34" s="51">
        <v>1428</v>
      </c>
      <c r="G34" s="53" t="s">
        <v>37</v>
      </c>
      <c r="H34" s="53"/>
      <c r="I34" s="54">
        <v>100</v>
      </c>
      <c r="J34" s="54">
        <v>50</v>
      </c>
    </row>
    <row r="35" spans="1:10">
      <c r="A35" s="50">
        <v>42870</v>
      </c>
      <c r="B35" s="51">
        <v>5</v>
      </c>
      <c r="C35" s="51">
        <v>9</v>
      </c>
      <c r="D35" s="51">
        <f t="shared" si="0"/>
        <v>4</v>
      </c>
      <c r="E35" s="52" t="str">
        <f t="shared" si="1"/>
        <v>Pass</v>
      </c>
      <c r="F35" s="51">
        <v>1159</v>
      </c>
      <c r="G35" s="53" t="s">
        <v>38</v>
      </c>
      <c r="H35" s="53"/>
      <c r="I35" s="54">
        <v>100</v>
      </c>
      <c r="J35" s="54">
        <v>50</v>
      </c>
    </row>
    <row r="36" spans="1:10">
      <c r="A36" s="50">
        <v>42875</v>
      </c>
      <c r="B36" s="51">
        <v>6</v>
      </c>
      <c r="C36" s="51">
        <v>6</v>
      </c>
      <c r="D36" s="51">
        <f t="shared" si="0"/>
        <v>0</v>
      </c>
      <c r="E36" s="52" t="str">
        <f t="shared" si="1"/>
        <v>Pass</v>
      </c>
      <c r="F36" s="51">
        <v>1428</v>
      </c>
      <c r="G36" s="53" t="s">
        <v>37</v>
      </c>
      <c r="H36" s="53"/>
      <c r="I36" s="54">
        <v>100</v>
      </c>
      <c r="J36" s="54">
        <v>50</v>
      </c>
    </row>
    <row r="37" spans="1:10">
      <c r="A37" s="50">
        <v>42880</v>
      </c>
      <c r="B37" s="51">
        <v>1</v>
      </c>
      <c r="C37" s="51">
        <v>6</v>
      </c>
      <c r="D37" s="51">
        <f t="shared" si="0"/>
        <v>5</v>
      </c>
      <c r="E37" s="52" t="str">
        <f t="shared" si="1"/>
        <v>Pass</v>
      </c>
      <c r="F37" s="51">
        <v>121</v>
      </c>
      <c r="G37" s="53" t="s">
        <v>39</v>
      </c>
      <c r="H37" s="53"/>
      <c r="I37" s="54">
        <v>100</v>
      </c>
      <c r="J37" s="54">
        <v>50</v>
      </c>
    </row>
    <row r="38" spans="1:10">
      <c r="A38" s="50">
        <v>42886</v>
      </c>
      <c r="B38" s="51">
        <v>1</v>
      </c>
      <c r="C38" s="51">
        <v>0</v>
      </c>
      <c r="D38" s="51">
        <f t="shared" si="0"/>
        <v>-1</v>
      </c>
      <c r="E38" s="52" t="str">
        <f t="shared" si="1"/>
        <v>Pass</v>
      </c>
      <c r="F38" s="51">
        <v>64</v>
      </c>
      <c r="G38" s="53" t="s">
        <v>40</v>
      </c>
      <c r="H38" s="53"/>
      <c r="I38" s="54">
        <v>100</v>
      </c>
      <c r="J38" s="54">
        <v>50</v>
      </c>
    </row>
    <row r="39" spans="1:10">
      <c r="A39" s="50">
        <v>42887</v>
      </c>
      <c r="B39" s="51">
        <v>3</v>
      </c>
      <c r="C39" s="51">
        <v>7</v>
      </c>
      <c r="D39" s="51">
        <f t="shared" si="0"/>
        <v>4</v>
      </c>
      <c r="E39" s="52" t="str">
        <f t="shared" si="1"/>
        <v>Pass</v>
      </c>
      <c r="F39" s="51">
        <v>1159</v>
      </c>
      <c r="G39" s="53" t="s">
        <v>41</v>
      </c>
      <c r="H39" s="53"/>
      <c r="I39" s="54">
        <v>100</v>
      </c>
      <c r="J39" s="54">
        <v>50</v>
      </c>
    </row>
    <row r="40" spans="1:10">
      <c r="A40" s="50">
        <v>42891</v>
      </c>
      <c r="B40" s="51">
        <v>7</v>
      </c>
      <c r="C40" s="51">
        <v>4</v>
      </c>
      <c r="D40" s="51">
        <f t="shared" si="0"/>
        <v>-3</v>
      </c>
      <c r="E40" s="52" t="str">
        <f t="shared" si="1"/>
        <v>Pass</v>
      </c>
      <c r="F40" s="51">
        <v>1335</v>
      </c>
      <c r="G40" s="53" t="s">
        <v>23</v>
      </c>
      <c r="H40" s="53"/>
      <c r="I40" s="54">
        <v>100</v>
      </c>
      <c r="J40" s="54">
        <v>50</v>
      </c>
    </row>
    <row r="41" spans="1:10">
      <c r="A41" s="50">
        <v>42895</v>
      </c>
      <c r="B41" s="51">
        <v>12</v>
      </c>
      <c r="C41" s="51">
        <v>16</v>
      </c>
      <c r="D41" s="51">
        <f t="shared" si="0"/>
        <v>4</v>
      </c>
      <c r="E41" s="52" t="str">
        <f>IF((D41=""),"",IF(D41&lt;=50,"Pass","Fail"))</f>
        <v>Pass</v>
      </c>
      <c r="F41" s="51">
        <v>121</v>
      </c>
      <c r="G41" s="43" t="s">
        <v>40</v>
      </c>
      <c r="H41" s="43"/>
      <c r="I41" s="54">
        <v>100</v>
      </c>
      <c r="J41" s="54">
        <v>50</v>
      </c>
    </row>
    <row r="42" spans="1:10">
      <c r="A42" s="50">
        <v>42905</v>
      </c>
      <c r="B42" s="51">
        <v>45</v>
      </c>
      <c r="C42" s="51">
        <v>43</v>
      </c>
      <c r="D42" s="51">
        <f t="shared" si="0"/>
        <v>-2</v>
      </c>
      <c r="E42" s="52" t="str">
        <f t="shared" si="1"/>
        <v>Pass</v>
      </c>
      <c r="F42" s="51">
        <v>1159</v>
      </c>
      <c r="G42" s="53" t="s">
        <v>42</v>
      </c>
      <c r="H42" s="53"/>
      <c r="I42" s="54">
        <v>100</v>
      </c>
      <c r="J42" s="54">
        <v>50</v>
      </c>
    </row>
    <row r="43" spans="1:10">
      <c r="A43" s="50">
        <v>42909</v>
      </c>
      <c r="B43" s="51">
        <v>9</v>
      </c>
      <c r="C43" s="51">
        <v>10</v>
      </c>
      <c r="D43" s="51">
        <f t="shared" si="0"/>
        <v>1</v>
      </c>
      <c r="E43" s="52" t="str">
        <f t="shared" si="1"/>
        <v>Pass</v>
      </c>
      <c r="F43" s="51">
        <v>1159</v>
      </c>
      <c r="G43" s="53" t="s">
        <v>43</v>
      </c>
      <c r="H43" s="53"/>
      <c r="I43" s="54">
        <v>100</v>
      </c>
      <c r="J43" s="54">
        <v>50</v>
      </c>
    </row>
    <row r="44" spans="1:10">
      <c r="A44" s="50">
        <v>42915</v>
      </c>
      <c r="B44" s="51">
        <v>12</v>
      </c>
      <c r="C44" s="51">
        <v>15</v>
      </c>
      <c r="D44" s="51">
        <f t="shared" si="0"/>
        <v>3</v>
      </c>
      <c r="E44" s="52" t="str">
        <f t="shared" si="1"/>
        <v>Pass</v>
      </c>
      <c r="F44" s="51">
        <v>1159</v>
      </c>
      <c r="G44" s="53" t="s">
        <v>40</v>
      </c>
      <c r="H44" s="53"/>
      <c r="I44" s="54">
        <v>100</v>
      </c>
      <c r="J44" s="54">
        <v>50</v>
      </c>
    </row>
    <row r="45" spans="1:10">
      <c r="A45" s="50">
        <v>42920</v>
      </c>
      <c r="B45" s="51">
        <v>10</v>
      </c>
      <c r="C45" s="51">
        <v>5</v>
      </c>
      <c r="D45" s="51">
        <f t="shared" si="0"/>
        <v>-5</v>
      </c>
      <c r="E45" s="52" t="str">
        <f t="shared" si="1"/>
        <v>Pass</v>
      </c>
      <c r="F45" s="51">
        <v>102</v>
      </c>
      <c r="G45" s="53" t="s">
        <v>40</v>
      </c>
      <c r="H45" s="53"/>
      <c r="I45" s="54">
        <v>100</v>
      </c>
      <c r="J45" s="54">
        <v>50</v>
      </c>
    </row>
    <row r="46" spans="1:10">
      <c r="A46" s="50">
        <v>42933</v>
      </c>
      <c r="B46" s="51">
        <v>1</v>
      </c>
      <c r="C46" s="51">
        <v>10</v>
      </c>
      <c r="D46" s="51">
        <f t="shared" si="0"/>
        <v>9</v>
      </c>
      <c r="E46" s="52" t="str">
        <f t="shared" si="1"/>
        <v>Pass</v>
      </c>
      <c r="F46" s="51">
        <v>102</v>
      </c>
      <c r="G46" s="53" t="s">
        <v>40</v>
      </c>
      <c r="H46" s="53"/>
      <c r="I46" s="54">
        <v>100</v>
      </c>
      <c r="J46" s="54">
        <v>50</v>
      </c>
    </row>
    <row r="47" spans="1:10">
      <c r="A47" s="50">
        <v>42937</v>
      </c>
      <c r="B47" s="51">
        <v>10</v>
      </c>
      <c r="C47" s="51">
        <v>11</v>
      </c>
      <c r="D47" s="51">
        <f t="shared" si="0"/>
        <v>1</v>
      </c>
      <c r="E47" s="52" t="str">
        <f t="shared" si="1"/>
        <v>Pass</v>
      </c>
      <c r="F47" s="51">
        <v>1428</v>
      </c>
      <c r="G47" s="53" t="s">
        <v>23</v>
      </c>
      <c r="H47" s="53"/>
      <c r="I47" s="54">
        <v>100</v>
      </c>
      <c r="J47" s="54">
        <v>50</v>
      </c>
    </row>
    <row r="48" spans="1:10">
      <c r="A48" s="50">
        <v>42940</v>
      </c>
      <c r="B48" s="51">
        <v>9</v>
      </c>
      <c r="C48" s="51">
        <v>11</v>
      </c>
      <c r="D48" s="51">
        <f t="shared" si="0"/>
        <v>2</v>
      </c>
      <c r="E48" s="52" t="str">
        <f t="shared" si="1"/>
        <v>Pass</v>
      </c>
      <c r="F48" s="51">
        <v>121</v>
      </c>
      <c r="G48" s="53" t="s">
        <v>23</v>
      </c>
      <c r="H48" s="53"/>
      <c r="I48" s="54">
        <v>100</v>
      </c>
      <c r="J48" s="54">
        <v>50</v>
      </c>
    </row>
    <row r="49" spans="1:10">
      <c r="A49" s="50">
        <v>42948</v>
      </c>
      <c r="B49" s="51">
        <v>5</v>
      </c>
      <c r="C49" s="51">
        <v>2</v>
      </c>
      <c r="D49" s="51">
        <f t="shared" si="0"/>
        <v>-3</v>
      </c>
      <c r="E49" s="52" t="str">
        <f t="shared" si="1"/>
        <v>Pass</v>
      </c>
      <c r="F49" s="51">
        <v>1159</v>
      </c>
      <c r="G49" s="53" t="s">
        <v>44</v>
      </c>
      <c r="H49" s="53"/>
      <c r="I49" s="54">
        <v>100</v>
      </c>
      <c r="J49" s="54">
        <v>50</v>
      </c>
    </row>
    <row r="50" spans="1:10">
      <c r="A50" s="50">
        <v>42948</v>
      </c>
      <c r="B50" s="51">
        <v>20</v>
      </c>
      <c r="C50" s="51">
        <v>21</v>
      </c>
      <c r="D50" s="51">
        <f t="shared" si="0"/>
        <v>1</v>
      </c>
      <c r="E50" s="52" t="str">
        <f t="shared" si="1"/>
        <v>Pass</v>
      </c>
      <c r="F50" s="51">
        <v>1534</v>
      </c>
      <c r="G50" s="53" t="s">
        <v>45</v>
      </c>
      <c r="H50" s="53"/>
      <c r="I50" s="54">
        <v>100</v>
      </c>
      <c r="J50" s="54">
        <v>50</v>
      </c>
    </row>
    <row r="51" spans="1:10">
      <c r="A51" s="50">
        <v>42957</v>
      </c>
      <c r="B51" s="51">
        <v>20</v>
      </c>
      <c r="C51" s="51">
        <v>45</v>
      </c>
      <c r="D51" s="51">
        <f t="shared" si="0"/>
        <v>25</v>
      </c>
      <c r="E51" s="52" t="str">
        <f t="shared" si="1"/>
        <v>Pass</v>
      </c>
      <c r="F51" s="51">
        <v>1428</v>
      </c>
      <c r="H51" s="53"/>
      <c r="I51" s="54">
        <v>100</v>
      </c>
      <c r="J51" s="54">
        <v>50</v>
      </c>
    </row>
    <row r="52" spans="1:10">
      <c r="A52" s="50">
        <v>42969</v>
      </c>
      <c r="B52" s="51">
        <v>7</v>
      </c>
      <c r="C52" s="51">
        <v>7</v>
      </c>
      <c r="D52" s="51">
        <f t="shared" si="0"/>
        <v>0</v>
      </c>
      <c r="E52" s="52" t="str">
        <f t="shared" si="1"/>
        <v>Pass</v>
      </c>
      <c r="F52" s="51">
        <v>1159</v>
      </c>
      <c r="G52" s="43" t="s">
        <v>46</v>
      </c>
      <c r="H52" s="43"/>
      <c r="I52" s="54">
        <v>100</v>
      </c>
      <c r="J52" s="54">
        <v>50</v>
      </c>
    </row>
    <row r="53" spans="1:10">
      <c r="A53" s="50">
        <v>42975</v>
      </c>
      <c r="B53" s="51">
        <v>12</v>
      </c>
      <c r="C53" s="51">
        <v>17</v>
      </c>
      <c r="D53" s="51">
        <f t="shared" si="0"/>
        <v>5</v>
      </c>
      <c r="E53" s="52" t="str">
        <f>IF((D53=""),"",IF(D53&lt;=50,"Pass","Fail"))</f>
        <v>Pass</v>
      </c>
      <c r="F53" s="51">
        <v>1428</v>
      </c>
      <c r="G53" s="53" t="s">
        <v>23</v>
      </c>
      <c r="H53" s="53"/>
      <c r="I53" s="54">
        <v>100</v>
      </c>
      <c r="J53" s="54">
        <v>50</v>
      </c>
    </row>
    <row r="54" spans="1:10">
      <c r="A54" s="50">
        <v>42982</v>
      </c>
      <c r="B54" s="51">
        <v>13</v>
      </c>
      <c r="C54" s="51">
        <v>25</v>
      </c>
      <c r="D54" s="51">
        <f t="shared" si="0"/>
        <v>12</v>
      </c>
      <c r="E54" s="52" t="str">
        <f t="shared" si="1"/>
        <v>Pass</v>
      </c>
      <c r="F54" s="51">
        <v>1335</v>
      </c>
      <c r="G54" s="53" t="s">
        <v>23</v>
      </c>
      <c r="H54" s="53"/>
      <c r="I54" s="54">
        <v>100</v>
      </c>
      <c r="J54" s="54">
        <v>50</v>
      </c>
    </row>
    <row r="55" spans="1:10">
      <c r="A55" s="50">
        <v>42989</v>
      </c>
      <c r="B55" s="51">
        <v>2</v>
      </c>
      <c r="C55" s="51">
        <v>5</v>
      </c>
      <c r="D55" s="51">
        <f t="shared" si="0"/>
        <v>3</v>
      </c>
      <c r="E55" s="52" t="str">
        <f t="shared" si="1"/>
        <v>Pass</v>
      </c>
      <c r="F55" s="51">
        <v>102</v>
      </c>
      <c r="G55" s="53" t="s">
        <v>23</v>
      </c>
      <c r="H55" s="53"/>
      <c r="I55" s="54">
        <v>100</v>
      </c>
      <c r="J55" s="54">
        <v>50</v>
      </c>
    </row>
    <row r="56" spans="1:10">
      <c r="A56" s="50">
        <v>42993</v>
      </c>
      <c r="B56" s="51">
        <v>17</v>
      </c>
      <c r="C56" s="51">
        <v>16</v>
      </c>
      <c r="D56" s="51">
        <f t="shared" si="0"/>
        <v>-1</v>
      </c>
      <c r="E56" s="52" t="str">
        <f t="shared" si="1"/>
        <v>Pass</v>
      </c>
      <c r="F56" s="51">
        <v>1159</v>
      </c>
      <c r="G56" s="43" t="s">
        <v>47</v>
      </c>
      <c r="H56" s="43"/>
      <c r="I56" s="54">
        <v>100</v>
      </c>
      <c r="J56" s="54">
        <v>50</v>
      </c>
    </row>
    <row r="57" spans="1:10">
      <c r="A57" s="50">
        <v>42997</v>
      </c>
      <c r="B57" s="51">
        <v>25</v>
      </c>
      <c r="C57" s="51">
        <v>51</v>
      </c>
      <c r="D57" s="51">
        <f t="shared" si="0"/>
        <v>26</v>
      </c>
      <c r="E57" s="52" t="str">
        <f t="shared" si="1"/>
        <v>Pass</v>
      </c>
      <c r="F57" s="51">
        <v>1428</v>
      </c>
      <c r="G57" s="43" t="s">
        <v>48</v>
      </c>
      <c r="H57" s="43"/>
      <c r="I57" s="54">
        <v>100</v>
      </c>
      <c r="J57" s="54">
        <v>50</v>
      </c>
    </row>
    <row r="58" spans="1:10">
      <c r="A58" s="50">
        <v>42998</v>
      </c>
      <c r="B58" s="51">
        <v>47</v>
      </c>
      <c r="C58" s="51">
        <v>56</v>
      </c>
      <c r="D58" s="51">
        <f t="shared" si="0"/>
        <v>9</v>
      </c>
      <c r="E58" s="52" t="str">
        <f t="shared" si="1"/>
        <v>Pass</v>
      </c>
      <c r="F58" s="51">
        <v>64</v>
      </c>
      <c r="G58" s="43" t="s">
        <v>48</v>
      </c>
      <c r="H58" s="43"/>
      <c r="I58" s="54">
        <v>100</v>
      </c>
      <c r="J58" s="54">
        <v>50</v>
      </c>
    </row>
    <row r="59" spans="1:10">
      <c r="A59" s="50">
        <v>43003</v>
      </c>
      <c r="B59" s="51">
        <v>7</v>
      </c>
      <c r="C59" s="51">
        <v>20</v>
      </c>
      <c r="D59" s="51">
        <f t="shared" si="0"/>
        <v>13</v>
      </c>
      <c r="E59" s="52" t="str">
        <f t="shared" si="1"/>
        <v>Pass</v>
      </c>
      <c r="F59" s="51" t="s">
        <v>49</v>
      </c>
      <c r="G59" s="43" t="s">
        <v>50</v>
      </c>
      <c r="H59" s="43"/>
      <c r="I59" s="54">
        <v>100</v>
      </c>
      <c r="J59" s="54">
        <v>50</v>
      </c>
    </row>
    <row r="60" spans="1:10">
      <c r="A60" s="50">
        <v>43006</v>
      </c>
      <c r="B60" s="51">
        <v>57</v>
      </c>
      <c r="C60" s="51">
        <v>56</v>
      </c>
      <c r="D60" s="51">
        <f t="shared" si="0"/>
        <v>-1</v>
      </c>
      <c r="E60" s="52" t="str">
        <f t="shared" si="1"/>
        <v>Pass</v>
      </c>
      <c r="F60" s="51">
        <v>121</v>
      </c>
      <c r="G60" s="53" t="s">
        <v>51</v>
      </c>
      <c r="H60" s="53"/>
      <c r="I60" s="54">
        <v>100</v>
      </c>
      <c r="J60" s="54">
        <v>50</v>
      </c>
    </row>
    <row r="61" spans="1:10">
      <c r="A61" s="50">
        <v>43007</v>
      </c>
      <c r="B61" s="51">
        <v>4</v>
      </c>
      <c r="C61" s="51">
        <v>10</v>
      </c>
      <c r="D61" s="51">
        <f t="shared" si="0"/>
        <v>6</v>
      </c>
      <c r="E61" s="52" t="str">
        <f t="shared" si="1"/>
        <v>Pass</v>
      </c>
      <c r="F61" s="51">
        <v>1534</v>
      </c>
      <c r="G61" s="53" t="s">
        <v>52</v>
      </c>
      <c r="H61" s="53"/>
      <c r="I61" s="54">
        <v>100</v>
      </c>
      <c r="J61" s="54">
        <v>50</v>
      </c>
    </row>
    <row r="62" spans="1:10">
      <c r="A62" s="50">
        <v>43010</v>
      </c>
      <c r="B62" s="51">
        <v>9</v>
      </c>
      <c r="C62" s="51">
        <v>7</v>
      </c>
      <c r="D62" s="51">
        <f t="shared" si="0"/>
        <v>-2</v>
      </c>
      <c r="E62" s="52" t="str">
        <f t="shared" si="1"/>
        <v>Pass</v>
      </c>
      <c r="F62" s="51">
        <v>1159</v>
      </c>
      <c r="G62" s="43" t="s">
        <v>53</v>
      </c>
      <c r="H62" s="43"/>
      <c r="I62" s="54">
        <v>100</v>
      </c>
      <c r="J62" s="54">
        <v>50</v>
      </c>
    </row>
    <row r="63" spans="1:10">
      <c r="A63" s="50">
        <v>43010</v>
      </c>
      <c r="B63" s="51">
        <v>11</v>
      </c>
      <c r="C63" s="51">
        <v>10</v>
      </c>
      <c r="D63" s="51">
        <f t="shared" si="0"/>
        <v>-1</v>
      </c>
      <c r="E63" s="52" t="str">
        <f t="shared" si="1"/>
        <v>Pass</v>
      </c>
      <c r="F63" s="51">
        <v>1159</v>
      </c>
      <c r="G63" s="43" t="s">
        <v>54</v>
      </c>
      <c r="H63" s="43"/>
      <c r="I63" s="54">
        <v>100</v>
      </c>
      <c r="J63" s="54">
        <v>50</v>
      </c>
    </row>
    <row r="64" spans="1:10">
      <c r="A64" s="50">
        <v>43012</v>
      </c>
      <c r="B64" s="51">
        <v>13</v>
      </c>
      <c r="C64" s="51">
        <v>6</v>
      </c>
      <c r="D64" s="51">
        <f t="shared" si="0"/>
        <v>-7</v>
      </c>
      <c r="E64" s="52" t="str">
        <f t="shared" si="1"/>
        <v>Pass</v>
      </c>
      <c r="F64" s="51">
        <v>121</v>
      </c>
      <c r="G64" s="43" t="s">
        <v>55</v>
      </c>
      <c r="H64" s="43"/>
      <c r="I64" s="54">
        <v>100</v>
      </c>
      <c r="J64" s="54">
        <v>50</v>
      </c>
    </row>
    <row r="65" spans="1:10">
      <c r="A65" s="50">
        <v>43017</v>
      </c>
      <c r="B65" s="51">
        <v>6</v>
      </c>
      <c r="C65" s="51">
        <v>18</v>
      </c>
      <c r="D65" s="51">
        <f t="shared" si="0"/>
        <v>12</v>
      </c>
      <c r="E65" s="52" t="str">
        <f t="shared" si="1"/>
        <v>Pass</v>
      </c>
      <c r="F65" s="51">
        <v>1428</v>
      </c>
      <c r="H65" s="53"/>
      <c r="I65" s="54">
        <v>100</v>
      </c>
      <c r="J65" s="54">
        <v>50</v>
      </c>
    </row>
    <row r="66" spans="1:10">
      <c r="A66" s="50">
        <v>43023</v>
      </c>
      <c r="B66" s="51">
        <v>16</v>
      </c>
      <c r="C66" s="51">
        <v>13</v>
      </c>
      <c r="D66" s="51">
        <f t="shared" si="0"/>
        <v>-3</v>
      </c>
      <c r="E66" s="52" t="str">
        <f>IF((D66=""),"",IF(D66&lt;=50,"Pass","Fail"))</f>
        <v>Pass</v>
      </c>
      <c r="F66" s="51">
        <v>121</v>
      </c>
      <c r="G66" s="43" t="s">
        <v>56</v>
      </c>
      <c r="H66" s="43"/>
      <c r="I66" s="54">
        <v>100</v>
      </c>
      <c r="J66" s="54">
        <v>50</v>
      </c>
    </row>
    <row r="67" spans="1:10">
      <c r="A67" s="50">
        <v>43028</v>
      </c>
      <c r="B67" s="51">
        <v>12</v>
      </c>
      <c r="C67" s="51">
        <v>15</v>
      </c>
      <c r="D67" s="51">
        <f t="shared" si="0"/>
        <v>3</v>
      </c>
      <c r="E67" s="52" t="str">
        <f t="shared" si="1"/>
        <v>Pass</v>
      </c>
      <c r="F67" s="51">
        <v>1335</v>
      </c>
      <c r="G67" s="43" t="s">
        <v>57</v>
      </c>
      <c r="H67" s="43"/>
      <c r="I67" s="54">
        <v>100</v>
      </c>
      <c r="J67" s="54">
        <v>50</v>
      </c>
    </row>
    <row r="68" spans="1:10">
      <c r="A68" s="50">
        <v>43032</v>
      </c>
      <c r="B68" s="51">
        <v>15</v>
      </c>
      <c r="C68" s="51">
        <v>13</v>
      </c>
      <c r="D68" s="51">
        <f t="shared" si="0"/>
        <v>-2</v>
      </c>
      <c r="E68" s="52" t="str">
        <f t="shared" si="1"/>
        <v>Pass</v>
      </c>
      <c r="F68" s="51">
        <v>1159</v>
      </c>
      <c r="G68" s="43" t="s">
        <v>58</v>
      </c>
      <c r="H68" s="43"/>
      <c r="I68" s="54">
        <v>100</v>
      </c>
      <c r="J68" s="54">
        <v>50</v>
      </c>
    </row>
    <row r="69" spans="1:10">
      <c r="A69" s="50">
        <v>43038</v>
      </c>
      <c r="B69" s="51">
        <v>6</v>
      </c>
      <c r="C69" s="51">
        <v>5</v>
      </c>
      <c r="D69" s="51">
        <f t="shared" si="0"/>
        <v>-1</v>
      </c>
      <c r="E69" s="52" t="str">
        <f t="shared" si="1"/>
        <v>Pass</v>
      </c>
      <c r="F69" s="51">
        <v>64</v>
      </c>
      <c r="G69" s="43" t="s">
        <v>23</v>
      </c>
      <c r="H69" s="53"/>
      <c r="I69" s="54">
        <v>100</v>
      </c>
      <c r="J69" s="54">
        <v>50</v>
      </c>
    </row>
    <row r="70" spans="1:10">
      <c r="A70" s="50">
        <v>43042</v>
      </c>
      <c r="B70" s="51">
        <v>7</v>
      </c>
      <c r="C70" s="51">
        <v>18</v>
      </c>
      <c r="D70" s="51">
        <f t="shared" si="0"/>
        <v>11</v>
      </c>
      <c r="E70" s="52" t="str">
        <f t="shared" si="1"/>
        <v>Pass</v>
      </c>
      <c r="F70" s="51">
        <v>121</v>
      </c>
      <c r="G70" s="43" t="s">
        <v>59</v>
      </c>
      <c r="H70" s="53"/>
      <c r="I70" s="54">
        <v>100</v>
      </c>
      <c r="J70" s="54">
        <v>50</v>
      </c>
    </row>
    <row r="71" spans="1:10">
      <c r="A71" s="50">
        <v>43042</v>
      </c>
      <c r="B71" s="51">
        <v>12</v>
      </c>
      <c r="C71" s="51">
        <v>15</v>
      </c>
      <c r="D71" s="51">
        <f t="shared" si="0"/>
        <v>3</v>
      </c>
      <c r="E71" s="52" t="str">
        <f t="shared" si="1"/>
        <v>Pass</v>
      </c>
      <c r="F71" s="51">
        <v>1335</v>
      </c>
      <c r="G71" s="53" t="s">
        <v>52</v>
      </c>
      <c r="H71" s="53"/>
      <c r="I71" s="54">
        <v>100</v>
      </c>
      <c r="J71" s="54">
        <v>50</v>
      </c>
    </row>
    <row r="72" spans="1:10">
      <c r="A72" s="50">
        <v>43046</v>
      </c>
      <c r="B72" s="51">
        <v>11</v>
      </c>
      <c r="C72" s="51">
        <v>6</v>
      </c>
      <c r="D72" s="51">
        <f t="shared" si="0"/>
        <v>-5</v>
      </c>
      <c r="E72" s="52" t="str">
        <f t="shared" si="1"/>
        <v>Pass</v>
      </c>
      <c r="F72" s="51">
        <v>1335</v>
      </c>
      <c r="G72" s="43" t="s">
        <v>23</v>
      </c>
      <c r="H72" s="53"/>
      <c r="I72" s="54">
        <v>100</v>
      </c>
      <c r="J72" s="54">
        <v>50</v>
      </c>
    </row>
    <row r="73" spans="1:10">
      <c r="A73" s="50">
        <v>43052</v>
      </c>
      <c r="B73" s="51">
        <v>2</v>
      </c>
      <c r="C73" s="51">
        <v>12</v>
      </c>
      <c r="D73" s="51">
        <f t="shared" si="0"/>
        <v>10</v>
      </c>
      <c r="E73" s="52" t="str">
        <f t="shared" si="1"/>
        <v>Pass</v>
      </c>
      <c r="F73" s="51">
        <v>102</v>
      </c>
      <c r="G73" s="43" t="s">
        <v>60</v>
      </c>
      <c r="H73" s="53"/>
      <c r="I73" s="54">
        <v>100</v>
      </c>
      <c r="J73" s="54">
        <v>50</v>
      </c>
    </row>
    <row r="74" spans="1:10">
      <c r="A74" s="50">
        <v>43056</v>
      </c>
      <c r="B74" s="51">
        <v>11</v>
      </c>
      <c r="C74" s="51">
        <v>9</v>
      </c>
      <c r="D74" s="51">
        <f t="shared" si="0"/>
        <v>-2</v>
      </c>
      <c r="E74" s="52" t="str">
        <f t="shared" si="1"/>
        <v>Pass</v>
      </c>
      <c r="F74" s="51">
        <v>121</v>
      </c>
      <c r="G74" s="43" t="s">
        <v>61</v>
      </c>
      <c r="H74" s="53"/>
      <c r="I74" s="54">
        <v>100</v>
      </c>
      <c r="J74" s="54">
        <v>50</v>
      </c>
    </row>
    <row r="75" spans="1:10">
      <c r="A75" s="50">
        <v>43060</v>
      </c>
      <c r="B75" s="51">
        <v>12</v>
      </c>
      <c r="C75" s="51">
        <v>14</v>
      </c>
      <c r="D75" s="51">
        <f t="shared" ref="D75:D99" si="2">IF(((B75="")*AND(C75="")),"",(C75-B75))</f>
        <v>2</v>
      </c>
      <c r="E75" s="52" t="str">
        <f t="shared" si="1"/>
        <v>Pass</v>
      </c>
      <c r="F75" s="51">
        <v>102</v>
      </c>
      <c r="G75" s="43" t="s">
        <v>62</v>
      </c>
      <c r="H75" s="53"/>
      <c r="I75" s="54">
        <v>100</v>
      </c>
      <c r="J75" s="54">
        <v>50</v>
      </c>
    </row>
    <row r="76" spans="1:10">
      <c r="A76" s="50">
        <v>43063</v>
      </c>
      <c r="B76" s="51">
        <v>16</v>
      </c>
      <c r="C76" s="51">
        <v>23</v>
      </c>
      <c r="D76" s="51">
        <f t="shared" si="2"/>
        <v>7</v>
      </c>
      <c r="E76" s="52" t="str">
        <f t="shared" ref="E76:E81" si="3">IF((D76=""),"",IF(D76&lt;=50,"Pass","Fail"))</f>
        <v>Pass</v>
      </c>
      <c r="F76" s="51">
        <v>1428</v>
      </c>
      <c r="G76" s="43" t="s">
        <v>62</v>
      </c>
      <c r="H76" s="53"/>
      <c r="I76" s="54">
        <v>100</v>
      </c>
      <c r="J76" s="54">
        <v>50</v>
      </c>
    </row>
    <row r="77" spans="1:10">
      <c r="A77" s="50">
        <v>43068</v>
      </c>
      <c r="B77" s="51">
        <v>22</v>
      </c>
      <c r="C77" s="51">
        <v>9</v>
      </c>
      <c r="D77" s="51">
        <f t="shared" si="2"/>
        <v>-13</v>
      </c>
      <c r="E77" s="52" t="str">
        <f t="shared" si="3"/>
        <v>Pass</v>
      </c>
      <c r="F77" s="51">
        <v>1335</v>
      </c>
      <c r="G77" s="43" t="s">
        <v>63</v>
      </c>
      <c r="H77" s="53"/>
      <c r="I77" s="54">
        <v>100</v>
      </c>
      <c r="J77" s="54">
        <v>50</v>
      </c>
    </row>
    <row r="78" spans="1:10">
      <c r="A78" s="50">
        <v>43073</v>
      </c>
      <c r="B78" s="51">
        <v>12</v>
      </c>
      <c r="C78" s="51">
        <v>11</v>
      </c>
      <c r="D78" s="51">
        <f t="shared" si="2"/>
        <v>-1</v>
      </c>
      <c r="E78" s="52" t="str">
        <f t="shared" si="3"/>
        <v>Pass</v>
      </c>
      <c r="F78" s="51">
        <v>102</v>
      </c>
      <c r="G78" s="43" t="s">
        <v>23</v>
      </c>
      <c r="H78" s="53"/>
      <c r="I78" s="54">
        <v>100</v>
      </c>
      <c r="J78" s="54">
        <v>50</v>
      </c>
    </row>
    <row r="79" spans="1:10">
      <c r="A79" s="50">
        <v>43076</v>
      </c>
      <c r="B79" s="51">
        <v>43</v>
      </c>
      <c r="C79" s="51">
        <v>43</v>
      </c>
      <c r="D79" s="51">
        <f t="shared" si="2"/>
        <v>0</v>
      </c>
      <c r="E79" s="52" t="str">
        <f t="shared" si="3"/>
        <v>Pass</v>
      </c>
      <c r="F79" s="51">
        <v>1534</v>
      </c>
      <c r="G79" s="43" t="s">
        <v>23</v>
      </c>
      <c r="H79" s="53"/>
      <c r="I79" s="54">
        <v>100</v>
      </c>
      <c r="J79" s="54">
        <v>50</v>
      </c>
    </row>
    <row r="80" spans="1:10">
      <c r="A80" s="50">
        <v>43081</v>
      </c>
      <c r="B80" s="51">
        <v>7</v>
      </c>
      <c r="C80" s="51">
        <v>4</v>
      </c>
      <c r="D80" s="51">
        <f t="shared" si="2"/>
        <v>-3</v>
      </c>
      <c r="E80" s="52" t="str">
        <f t="shared" si="3"/>
        <v>Pass</v>
      </c>
      <c r="F80" s="51">
        <v>1159</v>
      </c>
      <c r="G80" s="43" t="s">
        <v>64</v>
      </c>
      <c r="H80" s="53"/>
      <c r="I80" s="54">
        <v>100</v>
      </c>
      <c r="J80" s="54">
        <v>50</v>
      </c>
    </row>
    <row r="81" spans="1:10">
      <c r="A81" s="50">
        <v>43085</v>
      </c>
      <c r="B81" s="51">
        <v>3</v>
      </c>
      <c r="C81" s="51">
        <v>4</v>
      </c>
      <c r="D81" s="51">
        <f t="shared" si="2"/>
        <v>1</v>
      </c>
      <c r="E81" s="52" t="str">
        <f t="shared" si="3"/>
        <v>Pass</v>
      </c>
      <c r="F81" s="51">
        <v>121</v>
      </c>
      <c r="G81" s="43" t="s">
        <v>65</v>
      </c>
      <c r="H81" s="53"/>
      <c r="I81" s="54">
        <v>100</v>
      </c>
      <c r="J81" s="54">
        <v>50</v>
      </c>
    </row>
    <row r="82" spans="1:10">
      <c r="A82" s="50">
        <v>43090</v>
      </c>
      <c r="B82" s="51">
        <v>4</v>
      </c>
      <c r="C82" s="51">
        <v>10</v>
      </c>
      <c r="D82" s="51">
        <f t="shared" si="2"/>
        <v>6</v>
      </c>
      <c r="E82" s="52" t="str">
        <f>IF((D82=""),"",IF(D82&lt;=50,"Pass","Fail"))</f>
        <v>Pass</v>
      </c>
      <c r="F82" s="51">
        <v>1335</v>
      </c>
      <c r="G82" s="43" t="s">
        <v>65</v>
      </c>
      <c r="H82" s="53"/>
      <c r="I82" s="54">
        <v>100</v>
      </c>
      <c r="J82" s="54">
        <v>50</v>
      </c>
    </row>
    <row r="83" spans="1:10">
      <c r="A83" s="50">
        <v>43095</v>
      </c>
      <c r="B83" s="51">
        <v>3</v>
      </c>
      <c r="C83" s="51">
        <v>3</v>
      </c>
      <c r="D83" s="51">
        <f t="shared" si="2"/>
        <v>0</v>
      </c>
      <c r="E83" s="52" t="str">
        <f t="shared" ref="E83:E146" si="4">IF((D83=""),"",IF(D83&lt;=50,"Pass","Fail"))</f>
        <v>Pass</v>
      </c>
      <c r="F83" s="51">
        <v>64</v>
      </c>
      <c r="G83" s="43" t="s">
        <v>65</v>
      </c>
      <c r="H83" s="53"/>
      <c r="I83" s="54">
        <v>100</v>
      </c>
      <c r="J83" s="54">
        <v>50</v>
      </c>
    </row>
    <row r="84" spans="1:10">
      <c r="A84" s="50">
        <v>43097</v>
      </c>
      <c r="B84" s="51">
        <v>4</v>
      </c>
      <c r="C84" s="51">
        <v>11</v>
      </c>
      <c r="D84" s="51">
        <f t="shared" si="2"/>
        <v>7</v>
      </c>
      <c r="E84" s="52" t="str">
        <f t="shared" si="4"/>
        <v>Pass</v>
      </c>
      <c r="F84" s="51">
        <v>64</v>
      </c>
      <c r="G84" s="43" t="s">
        <v>65</v>
      </c>
      <c r="H84" s="53"/>
      <c r="I84" s="54">
        <v>100</v>
      </c>
      <c r="J84" s="54">
        <v>50</v>
      </c>
    </row>
    <row r="85" spans="1:10">
      <c r="A85" s="50">
        <v>43106</v>
      </c>
      <c r="B85" s="51">
        <v>19</v>
      </c>
      <c r="C85" s="51">
        <v>37</v>
      </c>
      <c r="D85" s="51">
        <f t="shared" si="2"/>
        <v>18</v>
      </c>
      <c r="E85" s="52" t="str">
        <f t="shared" si="4"/>
        <v>Pass</v>
      </c>
      <c r="F85" s="51">
        <v>102</v>
      </c>
      <c r="G85" s="43" t="s">
        <v>66</v>
      </c>
      <c r="H85" s="53"/>
      <c r="I85" s="54">
        <v>100</v>
      </c>
      <c r="J85" s="54">
        <v>50</v>
      </c>
    </row>
    <row r="86" spans="1:10">
      <c r="A86" s="50">
        <v>43110</v>
      </c>
      <c r="B86" s="51">
        <v>21</v>
      </c>
      <c r="C86" s="51">
        <v>22</v>
      </c>
      <c r="D86" s="51">
        <f t="shared" si="2"/>
        <v>1</v>
      </c>
      <c r="E86" s="52" t="str">
        <f t="shared" si="4"/>
        <v>Pass</v>
      </c>
      <c r="F86" s="51">
        <v>121</v>
      </c>
      <c r="G86" s="43" t="s">
        <v>65</v>
      </c>
      <c r="H86" s="53"/>
      <c r="I86" s="54">
        <v>100</v>
      </c>
      <c r="J86" s="54">
        <v>50</v>
      </c>
    </row>
    <row r="87" spans="1:10">
      <c r="A87" s="50">
        <v>43115</v>
      </c>
      <c r="B87" s="51">
        <v>11</v>
      </c>
      <c r="C87" s="51">
        <v>15</v>
      </c>
      <c r="D87" s="51">
        <f t="shared" si="2"/>
        <v>4</v>
      </c>
      <c r="E87" s="52" t="str">
        <f t="shared" si="4"/>
        <v>Pass</v>
      </c>
      <c r="F87" s="51">
        <v>1159</v>
      </c>
      <c r="G87" s="43" t="s">
        <v>23</v>
      </c>
      <c r="H87" s="53"/>
      <c r="I87" s="54">
        <v>100</v>
      </c>
      <c r="J87" s="54">
        <v>50</v>
      </c>
    </row>
    <row r="88" spans="1:10">
      <c r="A88" s="50">
        <v>43115</v>
      </c>
      <c r="B88" s="51">
        <v>2</v>
      </c>
      <c r="C88" s="51">
        <v>5</v>
      </c>
      <c r="D88" s="51">
        <f t="shared" si="2"/>
        <v>3</v>
      </c>
      <c r="E88" s="52" t="str">
        <f t="shared" si="4"/>
        <v>Pass</v>
      </c>
      <c r="F88" s="51">
        <v>1159</v>
      </c>
      <c r="G88" s="43" t="s">
        <v>67</v>
      </c>
      <c r="H88" s="53"/>
      <c r="I88" s="54">
        <v>100</v>
      </c>
      <c r="J88" s="54">
        <v>50</v>
      </c>
    </row>
    <row r="89" spans="1:10">
      <c r="A89" s="50">
        <v>43121</v>
      </c>
      <c r="B89" s="51">
        <v>2</v>
      </c>
      <c r="C89" s="51">
        <v>5</v>
      </c>
      <c r="D89" s="51">
        <f t="shared" si="2"/>
        <v>3</v>
      </c>
      <c r="E89" s="52" t="str">
        <f t="shared" si="4"/>
        <v>Pass</v>
      </c>
      <c r="F89" s="51">
        <v>1428</v>
      </c>
      <c r="G89" s="43" t="s">
        <v>68</v>
      </c>
      <c r="H89" s="53"/>
      <c r="I89" s="54">
        <v>100</v>
      </c>
      <c r="J89" s="54">
        <v>50</v>
      </c>
    </row>
    <row r="90" spans="1:10">
      <c r="A90" s="50">
        <v>43125</v>
      </c>
      <c r="B90" s="51">
        <v>5</v>
      </c>
      <c r="C90" s="51">
        <v>6</v>
      </c>
      <c r="D90" s="51">
        <f t="shared" si="2"/>
        <v>1</v>
      </c>
      <c r="E90" s="52" t="str">
        <f t="shared" si="4"/>
        <v>Pass</v>
      </c>
      <c r="F90" s="51">
        <v>102</v>
      </c>
      <c r="G90" s="43" t="s">
        <v>65</v>
      </c>
      <c r="H90" s="53"/>
      <c r="I90" s="54">
        <v>100</v>
      </c>
      <c r="J90" s="54">
        <v>50</v>
      </c>
    </row>
    <row r="91" spans="1:10">
      <c r="A91" s="50">
        <v>43129</v>
      </c>
      <c r="B91" s="51">
        <v>3</v>
      </c>
      <c r="C91" s="51">
        <v>5</v>
      </c>
      <c r="D91" s="51">
        <f t="shared" si="2"/>
        <v>2</v>
      </c>
      <c r="E91" s="52" t="str">
        <f t="shared" si="4"/>
        <v>Pass</v>
      </c>
      <c r="F91" s="51" t="s">
        <v>69</v>
      </c>
      <c r="H91" s="53"/>
      <c r="I91" s="54">
        <v>100</v>
      </c>
      <c r="J91" s="54">
        <v>50</v>
      </c>
    </row>
    <row r="92" spans="1:10">
      <c r="A92" s="50">
        <v>43133</v>
      </c>
      <c r="B92" s="51">
        <v>3</v>
      </c>
      <c r="C92" s="51">
        <v>5</v>
      </c>
      <c r="D92" s="51">
        <f t="shared" si="2"/>
        <v>2</v>
      </c>
      <c r="E92" s="52" t="str">
        <f t="shared" si="4"/>
        <v>Pass</v>
      </c>
      <c r="F92" s="51">
        <v>1335</v>
      </c>
      <c r="G92" s="43" t="s">
        <v>33</v>
      </c>
      <c r="H92" s="53"/>
      <c r="I92" s="54">
        <v>100</v>
      </c>
      <c r="J92" s="54">
        <v>50</v>
      </c>
    </row>
    <row r="93" spans="1:10">
      <c r="A93" s="50">
        <v>43137</v>
      </c>
      <c r="B93" s="51">
        <v>34</v>
      </c>
      <c r="C93" s="51">
        <v>92</v>
      </c>
      <c r="D93" s="51">
        <f t="shared" si="2"/>
        <v>58</v>
      </c>
      <c r="E93" s="52" t="str">
        <f t="shared" si="4"/>
        <v>Fail</v>
      </c>
      <c r="F93" s="51">
        <v>1519</v>
      </c>
      <c r="G93" s="43" t="s">
        <v>33</v>
      </c>
      <c r="H93" s="53"/>
      <c r="I93" s="54">
        <v>100</v>
      </c>
      <c r="J93" s="54">
        <v>50</v>
      </c>
    </row>
    <row r="94" spans="1:10">
      <c r="A94" s="50">
        <v>43141</v>
      </c>
      <c r="B94" s="51">
        <v>5</v>
      </c>
      <c r="C94" s="51">
        <v>22</v>
      </c>
      <c r="D94" s="51">
        <f t="shared" si="2"/>
        <v>17</v>
      </c>
      <c r="E94" s="52" t="str">
        <f t="shared" si="4"/>
        <v>Pass</v>
      </c>
      <c r="F94" s="51">
        <v>102</v>
      </c>
      <c r="G94" s="43" t="s">
        <v>60</v>
      </c>
      <c r="H94" s="53"/>
      <c r="I94" s="54">
        <v>100</v>
      </c>
      <c r="J94" s="54">
        <v>50</v>
      </c>
    </row>
    <row r="95" spans="1:10">
      <c r="A95" s="50">
        <v>43146</v>
      </c>
      <c r="B95" s="51">
        <v>17</v>
      </c>
      <c r="C95" s="51">
        <v>29</v>
      </c>
      <c r="D95" s="51">
        <f t="shared" si="2"/>
        <v>12</v>
      </c>
      <c r="E95" s="52" t="str">
        <f t="shared" si="4"/>
        <v>Pass</v>
      </c>
      <c r="F95" s="51">
        <v>1428</v>
      </c>
      <c r="G95" s="43" t="s">
        <v>33</v>
      </c>
      <c r="H95" s="53"/>
      <c r="I95" s="54">
        <v>100</v>
      </c>
      <c r="J95" s="54">
        <v>50</v>
      </c>
    </row>
    <row r="96" spans="1:10">
      <c r="A96" s="50">
        <v>43151</v>
      </c>
      <c r="B96" s="51">
        <v>53</v>
      </c>
      <c r="C96" s="51">
        <v>222</v>
      </c>
      <c r="D96" s="51">
        <f t="shared" si="2"/>
        <v>169</v>
      </c>
      <c r="E96" s="52" t="str">
        <f t="shared" si="4"/>
        <v>Fail</v>
      </c>
      <c r="F96" s="51">
        <v>121</v>
      </c>
      <c r="G96" s="43" t="s">
        <v>70</v>
      </c>
      <c r="H96" s="53"/>
      <c r="I96" s="54">
        <v>100</v>
      </c>
      <c r="J96" s="54">
        <v>50</v>
      </c>
    </row>
    <row r="97" spans="1:10">
      <c r="A97" s="50">
        <v>43151</v>
      </c>
      <c r="B97" s="51">
        <v>26</v>
      </c>
      <c r="C97" s="51">
        <v>66</v>
      </c>
      <c r="D97" s="51">
        <f t="shared" si="2"/>
        <v>40</v>
      </c>
      <c r="E97" s="52" t="str">
        <f t="shared" si="4"/>
        <v>Pass</v>
      </c>
      <c r="F97" s="51">
        <v>1159</v>
      </c>
      <c r="G97" s="43" t="s">
        <v>71</v>
      </c>
      <c r="H97" s="53"/>
      <c r="I97" s="54">
        <v>100</v>
      </c>
      <c r="J97" s="54">
        <v>50</v>
      </c>
    </row>
    <row r="98" spans="1:10">
      <c r="A98" s="50">
        <v>43159</v>
      </c>
      <c r="B98" s="51">
        <v>7</v>
      </c>
      <c r="C98" s="51">
        <v>15</v>
      </c>
      <c r="D98" s="51">
        <f t="shared" si="2"/>
        <v>8</v>
      </c>
      <c r="E98" s="52" t="str">
        <f t="shared" si="4"/>
        <v>Pass</v>
      </c>
      <c r="F98" s="51">
        <v>1159</v>
      </c>
      <c r="G98" s="43" t="s">
        <v>72</v>
      </c>
      <c r="H98" s="53"/>
      <c r="I98" s="54">
        <v>100</v>
      </c>
      <c r="J98" s="54">
        <v>50</v>
      </c>
    </row>
    <row r="99" spans="1:10">
      <c r="A99" s="50">
        <v>43167</v>
      </c>
      <c r="B99" s="51">
        <v>5</v>
      </c>
      <c r="C99" s="51">
        <v>8</v>
      </c>
      <c r="D99" s="51">
        <f t="shared" si="2"/>
        <v>3</v>
      </c>
      <c r="E99" s="52" t="str">
        <f t="shared" si="4"/>
        <v>Pass</v>
      </c>
      <c r="F99" s="51">
        <v>102</v>
      </c>
      <c r="G99" s="43" t="s">
        <v>60</v>
      </c>
      <c r="H99" s="53"/>
      <c r="I99" s="54">
        <v>100</v>
      </c>
      <c r="J99" s="54">
        <v>50</v>
      </c>
    </row>
    <row r="100" spans="1:10">
      <c r="A100" s="50">
        <v>43173</v>
      </c>
      <c r="B100" s="51"/>
      <c r="C100" s="51">
        <v>21</v>
      </c>
      <c r="D100" s="51"/>
      <c r="E100" s="52" t="str">
        <f t="shared" si="4"/>
        <v/>
      </c>
      <c r="F100" s="51">
        <v>121</v>
      </c>
      <c r="G100" s="43" t="s">
        <v>73</v>
      </c>
      <c r="H100" s="53"/>
      <c r="I100" s="54">
        <v>100</v>
      </c>
      <c r="J100" s="54">
        <v>50</v>
      </c>
    </row>
    <row r="101" spans="1:10">
      <c r="A101" s="50">
        <v>43178</v>
      </c>
      <c r="B101" s="51">
        <v>7</v>
      </c>
      <c r="C101" s="51">
        <v>39</v>
      </c>
      <c r="D101" s="51">
        <f t="shared" ref="D101:D164" si="5">IF(((B101="")*AND(C101="")),"",(C101-B101))</f>
        <v>32</v>
      </c>
      <c r="E101" s="52" t="str">
        <f t="shared" si="4"/>
        <v>Pass</v>
      </c>
      <c r="F101" s="51">
        <v>1159</v>
      </c>
      <c r="G101" s="43" t="s">
        <v>74</v>
      </c>
      <c r="H101" s="53"/>
      <c r="I101" s="54">
        <v>100</v>
      </c>
      <c r="J101" s="54">
        <v>50</v>
      </c>
    </row>
    <row r="102" spans="1:10">
      <c r="A102" s="50">
        <v>43182</v>
      </c>
      <c r="B102" s="51">
        <v>6</v>
      </c>
      <c r="C102" s="51">
        <v>11</v>
      </c>
      <c r="D102" s="51">
        <f t="shared" si="5"/>
        <v>5</v>
      </c>
      <c r="E102" s="52" t="str">
        <f t="shared" si="4"/>
        <v>Pass</v>
      </c>
      <c r="F102" s="51">
        <v>1159</v>
      </c>
      <c r="G102" s="43" t="s">
        <v>75</v>
      </c>
      <c r="H102" s="53"/>
      <c r="I102" s="54">
        <v>100</v>
      </c>
      <c r="J102" s="54">
        <v>50</v>
      </c>
    </row>
    <row r="103" spans="1:10">
      <c r="A103" s="50">
        <v>43187</v>
      </c>
      <c r="B103" s="51">
        <v>11</v>
      </c>
      <c r="C103" s="51">
        <v>28</v>
      </c>
      <c r="D103" s="51">
        <f t="shared" si="5"/>
        <v>17</v>
      </c>
      <c r="E103" s="52" t="str">
        <f t="shared" si="4"/>
        <v>Pass</v>
      </c>
      <c r="F103" s="51">
        <v>1159</v>
      </c>
      <c r="G103" s="43" t="s">
        <v>76</v>
      </c>
      <c r="H103" s="53"/>
      <c r="I103" s="54">
        <v>100</v>
      </c>
      <c r="J103" s="54">
        <v>50</v>
      </c>
    </row>
    <row r="104" spans="1:10">
      <c r="A104" s="50">
        <v>43192</v>
      </c>
      <c r="B104" s="51">
        <v>50</v>
      </c>
      <c r="C104" s="51">
        <v>222</v>
      </c>
      <c r="D104" s="51">
        <f t="shared" si="5"/>
        <v>172</v>
      </c>
      <c r="E104" s="52" t="str">
        <f t="shared" si="4"/>
        <v>Fail</v>
      </c>
      <c r="F104" s="51">
        <v>121</v>
      </c>
      <c r="G104" s="43" t="s">
        <v>77</v>
      </c>
      <c r="H104" s="53"/>
      <c r="I104" s="54">
        <v>100</v>
      </c>
      <c r="J104" s="54">
        <v>50</v>
      </c>
    </row>
    <row r="105" spans="1:10">
      <c r="A105" s="50">
        <v>43192</v>
      </c>
      <c r="B105" s="51">
        <v>12</v>
      </c>
      <c r="C105" s="51">
        <v>68</v>
      </c>
      <c r="D105" s="51">
        <f t="shared" si="5"/>
        <v>56</v>
      </c>
      <c r="E105" s="52" t="str">
        <f t="shared" si="4"/>
        <v>Fail</v>
      </c>
      <c r="F105" s="51">
        <v>121</v>
      </c>
      <c r="G105" s="43" t="s">
        <v>78</v>
      </c>
      <c r="H105" s="53"/>
      <c r="I105" s="54">
        <v>100</v>
      </c>
      <c r="J105" s="54">
        <v>50</v>
      </c>
    </row>
    <row r="106" spans="1:10">
      <c r="A106" s="50">
        <v>43199</v>
      </c>
      <c r="B106" s="51">
        <v>10</v>
      </c>
      <c r="C106" s="51">
        <v>26</v>
      </c>
      <c r="D106" s="51">
        <f t="shared" si="5"/>
        <v>16</v>
      </c>
      <c r="E106" s="52" t="str">
        <f t="shared" si="4"/>
        <v>Pass</v>
      </c>
      <c r="F106" s="51">
        <v>1159</v>
      </c>
      <c r="G106" s="43" t="s">
        <v>79</v>
      </c>
      <c r="H106" s="53"/>
      <c r="I106" s="54">
        <v>100</v>
      </c>
      <c r="J106" s="54">
        <v>50</v>
      </c>
    </row>
    <row r="107" spans="1:10">
      <c r="A107" s="50">
        <v>43203</v>
      </c>
      <c r="B107" s="51">
        <v>7</v>
      </c>
      <c r="C107" s="51">
        <v>25</v>
      </c>
      <c r="D107" s="51">
        <f t="shared" si="5"/>
        <v>18</v>
      </c>
      <c r="E107" s="52" t="str">
        <f t="shared" si="4"/>
        <v>Pass</v>
      </c>
      <c r="F107" s="51">
        <v>102</v>
      </c>
      <c r="G107" s="43" t="s">
        <v>80</v>
      </c>
      <c r="H107" s="53"/>
      <c r="I107" s="54">
        <v>100</v>
      </c>
      <c r="J107" s="54">
        <v>50</v>
      </c>
    </row>
    <row r="108" spans="1:10">
      <c r="A108" s="50">
        <v>43209</v>
      </c>
      <c r="B108" s="51">
        <v>45</v>
      </c>
      <c r="C108" s="51">
        <v>37</v>
      </c>
      <c r="D108" s="51">
        <f t="shared" si="5"/>
        <v>-8</v>
      </c>
      <c r="E108" s="52" t="str">
        <f t="shared" si="4"/>
        <v>Pass</v>
      </c>
      <c r="F108" s="51">
        <v>1335</v>
      </c>
      <c r="G108" s="43" t="s">
        <v>81</v>
      </c>
      <c r="H108" s="53"/>
      <c r="I108" s="54">
        <v>100</v>
      </c>
      <c r="J108" s="54">
        <v>50</v>
      </c>
    </row>
    <row r="109" spans="1:10">
      <c r="A109" s="50">
        <v>43214</v>
      </c>
      <c r="B109" s="51">
        <v>67</v>
      </c>
      <c r="C109" s="51">
        <v>108</v>
      </c>
      <c r="D109" s="51">
        <f t="shared" si="5"/>
        <v>41</v>
      </c>
      <c r="E109" s="52" t="str">
        <f t="shared" si="4"/>
        <v>Pass</v>
      </c>
      <c r="F109" s="51">
        <v>121</v>
      </c>
      <c r="G109" s="43" t="s">
        <v>82</v>
      </c>
      <c r="H109" s="53"/>
      <c r="I109" s="54">
        <v>100</v>
      </c>
      <c r="J109" s="54">
        <v>50</v>
      </c>
    </row>
    <row r="110" spans="1:10">
      <c r="A110" s="50">
        <v>43219</v>
      </c>
      <c r="B110" s="51">
        <v>27</v>
      </c>
      <c r="C110" s="51">
        <v>31</v>
      </c>
      <c r="D110" s="51">
        <f t="shared" si="5"/>
        <v>4</v>
      </c>
      <c r="E110" s="52" t="str">
        <f t="shared" si="4"/>
        <v>Pass</v>
      </c>
      <c r="F110" s="51">
        <v>121</v>
      </c>
      <c r="G110" s="43" t="s">
        <v>83</v>
      </c>
      <c r="H110" s="53"/>
      <c r="I110" s="54">
        <v>100</v>
      </c>
      <c r="J110" s="54">
        <v>50</v>
      </c>
    </row>
    <row r="111" spans="1:10">
      <c r="A111" s="50">
        <v>43221</v>
      </c>
      <c r="B111" s="51">
        <v>35</v>
      </c>
      <c r="C111" s="51">
        <v>33</v>
      </c>
      <c r="D111" s="51">
        <f t="shared" si="5"/>
        <v>-2</v>
      </c>
      <c r="E111" s="52" t="str">
        <f t="shared" si="4"/>
        <v>Pass</v>
      </c>
      <c r="F111" s="51">
        <v>1159</v>
      </c>
      <c r="G111" s="43" t="s">
        <v>84</v>
      </c>
      <c r="H111" s="53"/>
      <c r="I111" s="54">
        <v>100</v>
      </c>
      <c r="J111" s="54">
        <v>50</v>
      </c>
    </row>
    <row r="112" spans="1:10">
      <c r="A112" s="50">
        <v>43225</v>
      </c>
      <c r="B112" s="51">
        <v>42</v>
      </c>
      <c r="C112" s="51">
        <v>44</v>
      </c>
      <c r="D112" s="51">
        <f t="shared" si="5"/>
        <v>2</v>
      </c>
      <c r="E112" s="52" t="str">
        <f t="shared" si="4"/>
        <v>Pass</v>
      </c>
      <c r="F112" s="51">
        <v>1519</v>
      </c>
      <c r="H112" s="53"/>
      <c r="I112" s="54">
        <v>100</v>
      </c>
      <c r="J112" s="54">
        <v>50</v>
      </c>
    </row>
    <row r="113" spans="1:10">
      <c r="A113" s="50">
        <v>43234</v>
      </c>
      <c r="B113" s="51">
        <v>37</v>
      </c>
      <c r="C113" s="51">
        <v>80</v>
      </c>
      <c r="D113" s="51">
        <f t="shared" si="5"/>
        <v>43</v>
      </c>
      <c r="E113" s="52" t="str">
        <f t="shared" si="4"/>
        <v>Pass</v>
      </c>
      <c r="F113" s="51">
        <v>1335</v>
      </c>
      <c r="H113" s="53"/>
      <c r="I113" s="54">
        <v>100</v>
      </c>
      <c r="J113" s="54">
        <v>50</v>
      </c>
    </row>
    <row r="114" spans="1:10">
      <c r="A114" s="50">
        <v>43238</v>
      </c>
      <c r="B114" s="51">
        <v>19</v>
      </c>
      <c r="C114" s="51">
        <v>17</v>
      </c>
      <c r="D114" s="51">
        <f t="shared" si="5"/>
        <v>-2</v>
      </c>
      <c r="E114" s="52" t="str">
        <f t="shared" si="4"/>
        <v>Pass</v>
      </c>
      <c r="F114" s="51">
        <v>1159</v>
      </c>
      <c r="G114" s="43" t="s">
        <v>85</v>
      </c>
      <c r="H114" s="53"/>
      <c r="I114" s="54">
        <v>100</v>
      </c>
      <c r="J114" s="54">
        <v>50</v>
      </c>
    </row>
    <row r="115" spans="1:10">
      <c r="A115" s="50">
        <v>43243</v>
      </c>
      <c r="B115" s="51">
        <v>32</v>
      </c>
      <c r="C115" s="51">
        <v>34</v>
      </c>
      <c r="D115" s="51">
        <f t="shared" si="5"/>
        <v>2</v>
      </c>
      <c r="E115" s="52" t="str">
        <f t="shared" si="4"/>
        <v>Pass</v>
      </c>
      <c r="F115" s="51">
        <v>1159</v>
      </c>
      <c r="G115" s="43" t="s">
        <v>86</v>
      </c>
      <c r="H115" s="53"/>
      <c r="I115" s="54">
        <v>100</v>
      </c>
      <c r="J115" s="54">
        <v>50</v>
      </c>
    </row>
    <row r="116" spans="1:10">
      <c r="A116" s="50">
        <v>43247</v>
      </c>
      <c r="B116" s="51">
        <v>51</v>
      </c>
      <c r="C116" s="51">
        <v>52</v>
      </c>
      <c r="D116" s="51">
        <f t="shared" si="5"/>
        <v>1</v>
      </c>
      <c r="E116" s="52" t="str">
        <f t="shared" si="4"/>
        <v>Pass</v>
      </c>
      <c r="F116" s="51">
        <v>121</v>
      </c>
      <c r="G116" s="43" t="s">
        <v>87</v>
      </c>
      <c r="H116" s="53" t="s">
        <v>88</v>
      </c>
      <c r="I116" s="54">
        <v>100</v>
      </c>
      <c r="J116" s="54">
        <v>50</v>
      </c>
    </row>
    <row r="117" spans="1:10">
      <c r="A117" s="50">
        <v>43252</v>
      </c>
      <c r="B117" s="51">
        <v>7</v>
      </c>
      <c r="C117" s="51">
        <v>66</v>
      </c>
      <c r="D117" s="51">
        <f t="shared" si="5"/>
        <v>59</v>
      </c>
      <c r="E117" s="52" t="str">
        <f t="shared" si="4"/>
        <v>Fail</v>
      </c>
      <c r="F117" s="51">
        <v>121</v>
      </c>
      <c r="G117" s="43" t="s">
        <v>89</v>
      </c>
      <c r="H117" s="53"/>
      <c r="I117" s="54">
        <v>100</v>
      </c>
      <c r="J117" s="54">
        <v>50</v>
      </c>
    </row>
    <row r="118" spans="1:10">
      <c r="A118" s="50">
        <v>43252</v>
      </c>
      <c r="B118" s="51">
        <v>4</v>
      </c>
      <c r="C118" s="51">
        <v>47</v>
      </c>
      <c r="D118" s="51">
        <f t="shared" si="5"/>
        <v>43</v>
      </c>
      <c r="E118" s="52" t="str">
        <f t="shared" si="4"/>
        <v>Pass</v>
      </c>
      <c r="F118" s="51">
        <v>121</v>
      </c>
      <c r="G118" s="43" t="s">
        <v>90</v>
      </c>
      <c r="H118" s="53"/>
      <c r="I118" s="54">
        <v>100</v>
      </c>
      <c r="J118" s="54">
        <v>50</v>
      </c>
    </row>
    <row r="119" spans="1:10">
      <c r="A119" s="50">
        <v>43256</v>
      </c>
      <c r="B119" s="51">
        <v>12</v>
      </c>
      <c r="C119" s="51">
        <v>181</v>
      </c>
      <c r="D119" s="51">
        <f t="shared" si="5"/>
        <v>169</v>
      </c>
      <c r="E119" s="52" t="str">
        <f t="shared" si="4"/>
        <v>Fail</v>
      </c>
      <c r="F119" s="51">
        <v>1335</v>
      </c>
      <c r="G119" s="43" t="s">
        <v>91</v>
      </c>
      <c r="H119" s="53"/>
      <c r="I119" s="54">
        <v>100</v>
      </c>
      <c r="J119" s="54">
        <v>50</v>
      </c>
    </row>
    <row r="120" spans="1:10">
      <c r="A120" s="50">
        <v>43256</v>
      </c>
      <c r="B120" s="51">
        <v>20</v>
      </c>
      <c r="C120" s="51">
        <v>36</v>
      </c>
      <c r="D120" s="51">
        <f t="shared" si="5"/>
        <v>16</v>
      </c>
      <c r="E120" s="52" t="str">
        <f t="shared" si="4"/>
        <v>Pass</v>
      </c>
      <c r="F120" s="51">
        <v>1335</v>
      </c>
      <c r="G120" s="43" t="s">
        <v>92</v>
      </c>
      <c r="H120" s="53"/>
      <c r="I120" s="54">
        <v>100</v>
      </c>
      <c r="J120" s="54">
        <v>50</v>
      </c>
    </row>
    <row r="121" spans="1:10">
      <c r="A121" s="50">
        <v>43260</v>
      </c>
      <c r="B121" s="51">
        <v>6</v>
      </c>
      <c r="C121" s="51">
        <v>37</v>
      </c>
      <c r="D121" s="51">
        <f t="shared" si="5"/>
        <v>31</v>
      </c>
      <c r="E121" s="52" t="str">
        <f t="shared" si="4"/>
        <v>Pass</v>
      </c>
      <c r="F121" s="51">
        <v>121</v>
      </c>
      <c r="G121" s="43" t="s">
        <v>93</v>
      </c>
      <c r="H121" s="53"/>
      <c r="I121" s="54">
        <v>100</v>
      </c>
      <c r="J121" s="54">
        <v>50</v>
      </c>
    </row>
    <row r="122" spans="1:10">
      <c r="A122" s="50">
        <v>43265</v>
      </c>
      <c r="B122" s="51">
        <v>39</v>
      </c>
      <c r="C122" s="51">
        <v>366</v>
      </c>
      <c r="D122" s="51">
        <f t="shared" si="5"/>
        <v>327</v>
      </c>
      <c r="E122" s="52" t="str">
        <f t="shared" si="4"/>
        <v>Fail</v>
      </c>
      <c r="F122" s="51">
        <v>1159</v>
      </c>
      <c r="G122" s="43" t="s">
        <v>94</v>
      </c>
      <c r="H122" s="53" t="s">
        <v>95</v>
      </c>
      <c r="I122" s="54">
        <v>100</v>
      </c>
      <c r="J122" s="54">
        <v>50</v>
      </c>
    </row>
    <row r="123" spans="1:10">
      <c r="A123" s="50">
        <v>43265</v>
      </c>
      <c r="B123" s="51">
        <v>2</v>
      </c>
      <c r="C123" s="51">
        <v>47</v>
      </c>
      <c r="D123" s="51">
        <f t="shared" si="5"/>
        <v>45</v>
      </c>
      <c r="E123" s="52" t="str">
        <f t="shared" si="4"/>
        <v>Pass</v>
      </c>
      <c r="F123" s="51">
        <v>1340</v>
      </c>
      <c r="G123" s="43" t="s">
        <v>96</v>
      </c>
      <c r="H123" s="53"/>
      <c r="I123" s="54">
        <v>100</v>
      </c>
      <c r="J123" s="54">
        <v>50</v>
      </c>
    </row>
    <row r="124" spans="1:10">
      <c r="A124" s="50">
        <v>43276</v>
      </c>
      <c r="B124" s="51">
        <v>10</v>
      </c>
      <c r="C124" s="51">
        <v>15</v>
      </c>
      <c r="D124" s="51">
        <f t="shared" si="5"/>
        <v>5</v>
      </c>
      <c r="E124" s="52" t="str">
        <f t="shared" si="4"/>
        <v>Pass</v>
      </c>
      <c r="F124" s="51">
        <v>1335</v>
      </c>
      <c r="G124" s="43" t="s">
        <v>97</v>
      </c>
      <c r="H124" s="53"/>
      <c r="I124" s="54">
        <v>100</v>
      </c>
      <c r="J124" s="54">
        <v>50</v>
      </c>
    </row>
    <row r="125" spans="1:10">
      <c r="A125" s="50">
        <v>43276</v>
      </c>
      <c r="B125" s="51">
        <v>38</v>
      </c>
      <c r="C125" s="51">
        <v>43</v>
      </c>
      <c r="D125" s="51">
        <f t="shared" si="5"/>
        <v>5</v>
      </c>
      <c r="E125" s="52" t="str">
        <f t="shared" si="4"/>
        <v>Pass</v>
      </c>
      <c r="F125" s="51">
        <v>1335</v>
      </c>
      <c r="G125" s="43" t="s">
        <v>98</v>
      </c>
      <c r="H125" s="53" t="s">
        <v>99</v>
      </c>
      <c r="I125" s="54">
        <v>100</v>
      </c>
      <c r="J125" s="54">
        <v>50</v>
      </c>
    </row>
    <row r="126" spans="1:10">
      <c r="A126" s="50">
        <v>43280</v>
      </c>
      <c r="B126" s="51">
        <v>41</v>
      </c>
      <c r="C126" s="51">
        <v>69</v>
      </c>
      <c r="D126" s="51">
        <f t="shared" si="5"/>
        <v>28</v>
      </c>
      <c r="E126" s="52" t="str">
        <f t="shared" si="4"/>
        <v>Pass</v>
      </c>
      <c r="F126" s="51">
        <v>121</v>
      </c>
      <c r="H126" s="53"/>
      <c r="I126" s="54">
        <v>100</v>
      </c>
      <c r="J126" s="54">
        <v>50</v>
      </c>
    </row>
    <row r="127" spans="1:10">
      <c r="A127" s="50">
        <v>43284</v>
      </c>
      <c r="B127" s="51">
        <v>24</v>
      </c>
      <c r="C127" s="51">
        <v>42</v>
      </c>
      <c r="D127" s="51">
        <f t="shared" si="5"/>
        <v>18</v>
      </c>
      <c r="E127" s="52" t="str">
        <f t="shared" si="4"/>
        <v>Pass</v>
      </c>
      <c r="F127" s="51">
        <v>1159</v>
      </c>
      <c r="G127" s="43" t="s">
        <v>100</v>
      </c>
      <c r="H127" s="43" t="s">
        <v>101</v>
      </c>
      <c r="I127" s="54">
        <v>100</v>
      </c>
      <c r="J127" s="54">
        <v>50</v>
      </c>
    </row>
    <row r="128" spans="1:10">
      <c r="A128" s="50">
        <v>43288</v>
      </c>
      <c r="B128" s="51">
        <v>3</v>
      </c>
      <c r="C128" s="51">
        <v>12</v>
      </c>
      <c r="D128" s="51">
        <f t="shared" si="5"/>
        <v>9</v>
      </c>
      <c r="E128" s="52" t="str">
        <f t="shared" si="4"/>
        <v>Pass</v>
      </c>
      <c r="F128" s="51">
        <v>1428</v>
      </c>
      <c r="G128" s="53" t="s">
        <v>23</v>
      </c>
      <c r="H128" s="53"/>
      <c r="I128" s="54">
        <v>100</v>
      </c>
      <c r="J128" s="54">
        <v>50</v>
      </c>
    </row>
    <row r="129" spans="1:10">
      <c r="A129" s="50">
        <v>43293</v>
      </c>
      <c r="B129" s="51">
        <v>13</v>
      </c>
      <c r="C129" s="51">
        <v>11</v>
      </c>
      <c r="D129" s="51">
        <f t="shared" si="5"/>
        <v>-2</v>
      </c>
      <c r="E129" s="52" t="str">
        <f t="shared" si="4"/>
        <v>Pass</v>
      </c>
      <c r="F129" s="51">
        <v>121</v>
      </c>
      <c r="G129" s="43" t="s">
        <v>102</v>
      </c>
      <c r="H129" s="53"/>
      <c r="I129" s="54">
        <v>100</v>
      </c>
      <c r="J129" s="54">
        <v>50</v>
      </c>
    </row>
    <row r="130" spans="1:10">
      <c r="A130" s="50">
        <v>43297</v>
      </c>
      <c r="B130" s="51">
        <v>38</v>
      </c>
      <c r="C130" s="51">
        <v>39</v>
      </c>
      <c r="D130" s="51">
        <f t="shared" si="5"/>
        <v>1</v>
      </c>
      <c r="E130" s="52" t="str">
        <f t="shared" si="4"/>
        <v>Pass</v>
      </c>
      <c r="F130" s="51">
        <v>121</v>
      </c>
      <c r="G130" s="43" t="s">
        <v>103</v>
      </c>
      <c r="H130" s="53"/>
      <c r="I130" s="54">
        <v>100</v>
      </c>
      <c r="J130" s="54">
        <v>50</v>
      </c>
    </row>
    <row r="131" spans="1:10">
      <c r="A131" s="50">
        <v>43301</v>
      </c>
      <c r="B131" s="51">
        <v>28</v>
      </c>
      <c r="C131" s="51">
        <v>23</v>
      </c>
      <c r="D131" s="51">
        <f t="shared" si="5"/>
        <v>-5</v>
      </c>
      <c r="E131" s="52" t="str">
        <f t="shared" si="4"/>
        <v>Pass</v>
      </c>
      <c r="F131" s="51">
        <v>1340</v>
      </c>
      <c r="G131" s="43" t="s">
        <v>104</v>
      </c>
      <c r="H131" s="53"/>
      <c r="I131" s="54">
        <v>100</v>
      </c>
      <c r="J131" s="54">
        <v>50</v>
      </c>
    </row>
    <row r="132" spans="1:10">
      <c r="A132" s="50">
        <v>43304</v>
      </c>
      <c r="B132" s="51">
        <v>38</v>
      </c>
      <c r="C132" s="51">
        <v>27</v>
      </c>
      <c r="D132" s="51">
        <f t="shared" si="5"/>
        <v>-11</v>
      </c>
      <c r="E132" s="52" t="str">
        <f t="shared" si="4"/>
        <v>Pass</v>
      </c>
      <c r="F132" s="51">
        <v>1340</v>
      </c>
      <c r="G132" s="43" t="s">
        <v>105</v>
      </c>
      <c r="H132" s="53"/>
      <c r="I132" s="54">
        <v>100</v>
      </c>
      <c r="J132" s="54">
        <v>50</v>
      </c>
    </row>
    <row r="133" spans="1:10">
      <c r="A133" s="50">
        <v>43308</v>
      </c>
      <c r="B133" s="51">
        <v>28</v>
      </c>
      <c r="C133" s="51">
        <v>16</v>
      </c>
      <c r="D133" s="51">
        <f t="shared" si="5"/>
        <v>-12</v>
      </c>
      <c r="E133" s="52" t="str">
        <f t="shared" si="4"/>
        <v>Pass</v>
      </c>
      <c r="F133" s="51">
        <v>121</v>
      </c>
      <c r="G133" s="43" t="s">
        <v>106</v>
      </c>
      <c r="H133" s="53"/>
      <c r="I133" s="54">
        <v>100</v>
      </c>
      <c r="J133" s="54">
        <v>50</v>
      </c>
    </row>
    <row r="134" spans="1:10">
      <c r="A134" s="50">
        <v>43312</v>
      </c>
      <c r="B134" s="51">
        <v>13</v>
      </c>
      <c r="C134" s="51">
        <v>22</v>
      </c>
      <c r="D134" s="51">
        <f t="shared" si="5"/>
        <v>9</v>
      </c>
      <c r="E134" s="52" t="str">
        <f t="shared" si="4"/>
        <v>Pass</v>
      </c>
      <c r="F134" s="51">
        <v>1428</v>
      </c>
      <c r="G134" s="43" t="s">
        <v>23</v>
      </c>
      <c r="H134" s="53"/>
      <c r="I134" s="54">
        <v>100</v>
      </c>
      <c r="J134" s="54">
        <v>50</v>
      </c>
    </row>
    <row r="135" spans="1:10">
      <c r="A135" s="50">
        <v>43317</v>
      </c>
      <c r="B135" s="51">
        <v>13</v>
      </c>
      <c r="C135" s="51">
        <v>39</v>
      </c>
      <c r="D135" s="51">
        <f t="shared" si="5"/>
        <v>26</v>
      </c>
      <c r="E135" s="52" t="str">
        <f t="shared" si="4"/>
        <v>Pass</v>
      </c>
      <c r="F135" s="51">
        <v>1340</v>
      </c>
      <c r="G135" s="43" t="s">
        <v>23</v>
      </c>
      <c r="H135" s="53"/>
      <c r="I135" s="54">
        <v>100</v>
      </c>
      <c r="J135" s="54">
        <v>50</v>
      </c>
    </row>
    <row r="136" spans="1:10">
      <c r="A136" s="50">
        <v>43321</v>
      </c>
      <c r="B136" s="51">
        <v>4</v>
      </c>
      <c r="C136" s="51">
        <v>17</v>
      </c>
      <c r="D136" s="51">
        <f t="shared" si="5"/>
        <v>13</v>
      </c>
      <c r="E136" s="52" t="str">
        <f t="shared" si="4"/>
        <v>Pass</v>
      </c>
      <c r="F136" s="51">
        <v>74</v>
      </c>
      <c r="G136" s="43" t="s">
        <v>23</v>
      </c>
      <c r="H136" s="53"/>
      <c r="I136" s="54">
        <v>100</v>
      </c>
      <c r="J136" s="54">
        <v>50</v>
      </c>
    </row>
    <row r="137" spans="1:10">
      <c r="A137" s="50">
        <v>43326</v>
      </c>
      <c r="B137" s="51">
        <v>4</v>
      </c>
      <c r="C137" s="51">
        <v>18</v>
      </c>
      <c r="D137" s="51">
        <f t="shared" si="5"/>
        <v>14</v>
      </c>
      <c r="E137" s="52" t="str">
        <f t="shared" si="4"/>
        <v>Pass</v>
      </c>
      <c r="F137" s="51">
        <v>1159</v>
      </c>
      <c r="G137" s="43" t="s">
        <v>107</v>
      </c>
      <c r="H137" s="53"/>
      <c r="I137" s="54">
        <v>100</v>
      </c>
      <c r="J137" s="54">
        <v>50</v>
      </c>
    </row>
    <row r="138" spans="1:10">
      <c r="A138" s="50">
        <v>43332</v>
      </c>
      <c r="B138" s="51">
        <v>2</v>
      </c>
      <c r="C138" s="51">
        <v>7</v>
      </c>
      <c r="D138" s="51">
        <f t="shared" si="5"/>
        <v>5</v>
      </c>
      <c r="E138" s="52" t="str">
        <f t="shared" si="4"/>
        <v>Pass</v>
      </c>
      <c r="F138" s="51">
        <v>1340</v>
      </c>
      <c r="G138" s="43" t="s">
        <v>108</v>
      </c>
      <c r="H138" s="53"/>
      <c r="I138" s="54">
        <v>100</v>
      </c>
      <c r="J138" s="54">
        <v>50</v>
      </c>
    </row>
    <row r="139" spans="1:10">
      <c r="A139" s="50">
        <v>43336</v>
      </c>
      <c r="B139" s="51">
        <v>7</v>
      </c>
      <c r="C139" s="51">
        <v>23</v>
      </c>
      <c r="D139" s="51">
        <f t="shared" si="5"/>
        <v>16</v>
      </c>
      <c r="E139" s="52" t="str">
        <f t="shared" si="4"/>
        <v>Pass</v>
      </c>
      <c r="F139" s="51" t="s">
        <v>109</v>
      </c>
      <c r="G139" s="43" t="s">
        <v>110</v>
      </c>
      <c r="H139" s="53"/>
      <c r="I139" s="54">
        <v>100</v>
      </c>
      <c r="J139" s="54">
        <v>50</v>
      </c>
    </row>
    <row r="140" spans="1:10">
      <c r="A140" s="50">
        <v>43339</v>
      </c>
      <c r="B140" s="51">
        <v>44</v>
      </c>
      <c r="C140" s="51">
        <v>45</v>
      </c>
      <c r="D140" s="51">
        <f t="shared" si="5"/>
        <v>1</v>
      </c>
      <c r="E140" s="52" t="str">
        <f t="shared" si="4"/>
        <v>Pass</v>
      </c>
      <c r="F140" s="51" t="s">
        <v>111</v>
      </c>
      <c r="G140" s="43" t="s">
        <v>112</v>
      </c>
      <c r="H140" s="53"/>
      <c r="I140" s="54">
        <v>100</v>
      </c>
      <c r="J140" s="54">
        <v>50</v>
      </c>
    </row>
    <row r="141" spans="1:10">
      <c r="A141" s="50">
        <v>43344</v>
      </c>
      <c r="B141" s="51">
        <v>41</v>
      </c>
      <c r="C141" s="51">
        <v>50</v>
      </c>
      <c r="D141" s="51">
        <f t="shared" si="5"/>
        <v>9</v>
      </c>
      <c r="E141" s="52" t="str">
        <f t="shared" si="4"/>
        <v>Pass</v>
      </c>
      <c r="F141" s="51">
        <v>1335</v>
      </c>
      <c r="G141" s="43" t="s">
        <v>23</v>
      </c>
      <c r="H141" s="53"/>
      <c r="I141" s="54">
        <v>100</v>
      </c>
      <c r="J141" s="54">
        <v>50</v>
      </c>
    </row>
    <row r="142" spans="1:10">
      <c r="A142" s="50">
        <v>43348</v>
      </c>
      <c r="B142" s="51">
        <v>62</v>
      </c>
      <c r="C142" s="51">
        <v>79</v>
      </c>
      <c r="D142" s="51">
        <f t="shared" si="5"/>
        <v>17</v>
      </c>
      <c r="E142" s="52" t="str">
        <f t="shared" si="4"/>
        <v>Pass</v>
      </c>
      <c r="F142" s="51">
        <v>1428</v>
      </c>
      <c r="H142" s="53"/>
      <c r="I142" s="54">
        <v>100</v>
      </c>
      <c r="J142" s="54">
        <v>50</v>
      </c>
    </row>
    <row r="143" spans="1:10">
      <c r="A143" s="50">
        <v>43352</v>
      </c>
      <c r="B143" s="51">
        <v>19</v>
      </c>
      <c r="C143" s="51">
        <v>17</v>
      </c>
      <c r="D143" s="51">
        <f t="shared" si="5"/>
        <v>-2</v>
      </c>
      <c r="E143" s="52" t="str">
        <f t="shared" si="4"/>
        <v>Pass</v>
      </c>
      <c r="F143" s="51">
        <v>74</v>
      </c>
      <c r="H143" s="53"/>
      <c r="I143" s="54">
        <v>100</v>
      </c>
      <c r="J143" s="54">
        <v>50</v>
      </c>
    </row>
    <row r="144" spans="1:10">
      <c r="A144" s="50">
        <v>43356</v>
      </c>
      <c r="B144" s="51">
        <v>14</v>
      </c>
      <c r="C144" s="51">
        <v>35</v>
      </c>
      <c r="D144" s="51">
        <f t="shared" si="5"/>
        <v>21</v>
      </c>
      <c r="E144" s="52" t="str">
        <f t="shared" si="4"/>
        <v>Pass</v>
      </c>
      <c r="F144" s="51">
        <v>121</v>
      </c>
      <c r="H144" s="53"/>
      <c r="I144" s="54">
        <v>100</v>
      </c>
      <c r="J144" s="54">
        <v>50</v>
      </c>
    </row>
    <row r="145" spans="1:10">
      <c r="A145" s="50">
        <v>43360</v>
      </c>
      <c r="B145" s="51">
        <v>21</v>
      </c>
      <c r="C145" s="51">
        <v>29</v>
      </c>
      <c r="D145" s="51">
        <f t="shared" si="5"/>
        <v>8</v>
      </c>
      <c r="E145" s="52" t="str">
        <f t="shared" si="4"/>
        <v>Pass</v>
      </c>
      <c r="F145" s="51">
        <v>1340</v>
      </c>
      <c r="G145" s="43" t="s">
        <v>23</v>
      </c>
      <c r="H145" s="53"/>
      <c r="I145" s="54">
        <v>100</v>
      </c>
      <c r="J145" s="54">
        <v>50</v>
      </c>
    </row>
    <row r="146" spans="1:10">
      <c r="A146" s="50">
        <v>43364</v>
      </c>
      <c r="B146" s="51">
        <v>66</v>
      </c>
      <c r="C146" s="51">
        <v>99</v>
      </c>
      <c r="D146" s="51">
        <f t="shared" si="5"/>
        <v>33</v>
      </c>
      <c r="E146" s="52" t="str">
        <f t="shared" si="4"/>
        <v>Pass</v>
      </c>
      <c r="F146" s="51">
        <v>102</v>
      </c>
      <c r="G146" s="53" t="s">
        <v>113</v>
      </c>
      <c r="H146" s="53"/>
      <c r="I146" s="54">
        <v>100</v>
      </c>
      <c r="J146" s="54">
        <v>50</v>
      </c>
    </row>
    <row r="147" spans="1:10">
      <c r="A147" s="50">
        <v>43368</v>
      </c>
      <c r="B147" s="51">
        <v>19</v>
      </c>
      <c r="C147" s="51">
        <v>23</v>
      </c>
      <c r="D147" s="51">
        <f t="shared" si="5"/>
        <v>4</v>
      </c>
      <c r="E147" s="52" t="str">
        <f t="shared" ref="E147:E167" si="6">IF((D147=""),"",IF(D147&lt;=50,"Pass","Fail"))</f>
        <v>Pass</v>
      </c>
      <c r="F147" s="51">
        <v>1340</v>
      </c>
      <c r="H147" s="53"/>
      <c r="I147" s="54">
        <v>100</v>
      </c>
      <c r="J147" s="54">
        <v>50</v>
      </c>
    </row>
    <row r="148" spans="1:10">
      <c r="A148" s="50">
        <v>43372</v>
      </c>
      <c r="B148" s="51">
        <v>1</v>
      </c>
      <c r="C148" s="51">
        <v>17</v>
      </c>
      <c r="D148" s="51">
        <f t="shared" si="5"/>
        <v>16</v>
      </c>
      <c r="E148" s="52" t="str">
        <f t="shared" si="6"/>
        <v>Pass</v>
      </c>
      <c r="F148" s="51">
        <v>1335</v>
      </c>
      <c r="H148" s="53"/>
      <c r="I148" s="54">
        <v>100</v>
      </c>
      <c r="J148" s="54">
        <v>50</v>
      </c>
    </row>
    <row r="149" spans="1:10">
      <c r="A149" s="50">
        <v>43376</v>
      </c>
      <c r="B149" s="51">
        <v>11</v>
      </c>
      <c r="C149" s="51">
        <v>241</v>
      </c>
      <c r="D149" s="51">
        <f t="shared" si="5"/>
        <v>230</v>
      </c>
      <c r="E149" s="52" t="str">
        <f t="shared" si="6"/>
        <v>Fail</v>
      </c>
      <c r="F149" s="51">
        <v>74</v>
      </c>
      <c r="H149" s="53"/>
      <c r="I149" s="54">
        <v>100</v>
      </c>
      <c r="J149" s="54">
        <v>50</v>
      </c>
    </row>
    <row r="150" spans="1:10">
      <c r="A150" s="50">
        <v>43376</v>
      </c>
      <c r="B150" s="51">
        <v>33</v>
      </c>
      <c r="C150" s="51">
        <v>49</v>
      </c>
      <c r="D150" s="51">
        <f t="shared" si="5"/>
        <v>16</v>
      </c>
      <c r="E150" s="52" t="str">
        <f>IF((D150=""),"",IF(D150&lt;=50,"Pass","Fail"))</f>
        <v>Pass</v>
      </c>
      <c r="F150" s="51">
        <v>74</v>
      </c>
      <c r="H150" s="53"/>
      <c r="I150" s="54">
        <v>100</v>
      </c>
      <c r="J150" s="54">
        <v>50</v>
      </c>
    </row>
    <row r="151" spans="1:10">
      <c r="A151" s="50">
        <v>43381</v>
      </c>
      <c r="B151" s="51">
        <v>20</v>
      </c>
      <c r="C151" s="51">
        <v>21</v>
      </c>
      <c r="D151" s="51">
        <f t="shared" si="5"/>
        <v>1</v>
      </c>
      <c r="E151" s="52" t="str">
        <f t="shared" si="6"/>
        <v>Pass</v>
      </c>
      <c r="F151" s="51">
        <v>1335</v>
      </c>
      <c r="H151" s="53"/>
      <c r="I151" s="54">
        <v>100</v>
      </c>
      <c r="J151" s="54">
        <v>50</v>
      </c>
    </row>
    <row r="152" spans="1:10">
      <c r="A152" s="50">
        <v>43385</v>
      </c>
      <c r="B152" s="51">
        <v>22</v>
      </c>
      <c r="C152" s="51">
        <v>46</v>
      </c>
      <c r="D152" s="51">
        <f t="shared" si="5"/>
        <v>24</v>
      </c>
      <c r="E152" s="52" t="str">
        <f t="shared" si="6"/>
        <v>Pass</v>
      </c>
      <c r="F152" s="51">
        <v>1335</v>
      </c>
      <c r="H152" s="53"/>
      <c r="I152" s="54">
        <v>100</v>
      </c>
      <c r="J152" s="54">
        <v>50</v>
      </c>
    </row>
    <row r="153" spans="1:10">
      <c r="A153" s="50">
        <v>43390</v>
      </c>
      <c r="B153" s="51">
        <v>118</v>
      </c>
      <c r="C153" s="51">
        <v>112</v>
      </c>
      <c r="D153" s="51">
        <f t="shared" si="5"/>
        <v>-6</v>
      </c>
      <c r="E153" s="52" t="str">
        <f t="shared" si="6"/>
        <v>Pass</v>
      </c>
      <c r="F153" s="51">
        <v>121</v>
      </c>
      <c r="G153" s="53" t="s">
        <v>114</v>
      </c>
      <c r="H153" s="53"/>
      <c r="I153" s="54">
        <v>100</v>
      </c>
      <c r="J153" s="54">
        <v>50</v>
      </c>
    </row>
    <row r="154" spans="1:10">
      <c r="A154" s="50">
        <v>43390</v>
      </c>
      <c r="B154" s="51">
        <v>50</v>
      </c>
      <c r="C154" s="51">
        <v>67</v>
      </c>
      <c r="D154" s="51">
        <f t="shared" si="5"/>
        <v>17</v>
      </c>
      <c r="E154" s="52" t="str">
        <f t="shared" si="6"/>
        <v>Pass</v>
      </c>
      <c r="F154" s="51">
        <v>1335</v>
      </c>
      <c r="G154" s="53" t="s">
        <v>115</v>
      </c>
      <c r="H154" s="53"/>
      <c r="I154" s="54">
        <v>100</v>
      </c>
      <c r="J154" s="54">
        <v>50</v>
      </c>
    </row>
    <row r="155" spans="1:10">
      <c r="A155" s="50">
        <v>43399</v>
      </c>
      <c r="B155" s="51">
        <v>37</v>
      </c>
      <c r="C155" s="51">
        <v>79</v>
      </c>
      <c r="D155" s="51">
        <f t="shared" si="5"/>
        <v>42</v>
      </c>
      <c r="E155" s="52" t="str">
        <f t="shared" si="6"/>
        <v>Pass</v>
      </c>
      <c r="F155" s="51">
        <v>1159</v>
      </c>
      <c r="G155" s="53" t="s">
        <v>116</v>
      </c>
      <c r="H155" s="53"/>
      <c r="I155" s="54">
        <v>100</v>
      </c>
      <c r="J155" s="54">
        <v>50</v>
      </c>
    </row>
    <row r="156" spans="1:10">
      <c r="A156" s="50">
        <v>43403</v>
      </c>
      <c r="B156" s="51">
        <v>22</v>
      </c>
      <c r="C156" s="51">
        <v>71</v>
      </c>
      <c r="D156" s="51">
        <f t="shared" si="5"/>
        <v>49</v>
      </c>
      <c r="E156" s="52" t="str">
        <f t="shared" si="6"/>
        <v>Pass</v>
      </c>
      <c r="F156" s="51">
        <v>64</v>
      </c>
      <c r="H156" s="53"/>
      <c r="I156" s="54">
        <v>100</v>
      </c>
      <c r="J156" s="54">
        <v>50</v>
      </c>
    </row>
    <row r="157" spans="1:10">
      <c r="A157" s="50">
        <v>43403</v>
      </c>
      <c r="B157" s="51">
        <v>48</v>
      </c>
      <c r="C157" s="51">
        <v>50</v>
      </c>
      <c r="D157" s="51">
        <f t="shared" si="5"/>
        <v>2</v>
      </c>
      <c r="E157" s="52" t="str">
        <f t="shared" si="6"/>
        <v>Pass</v>
      </c>
      <c r="F157" s="51">
        <v>1335</v>
      </c>
      <c r="G157" s="53" t="s">
        <v>117</v>
      </c>
      <c r="H157" s="53"/>
      <c r="I157" s="54">
        <v>100</v>
      </c>
      <c r="J157" s="54">
        <v>50</v>
      </c>
    </row>
    <row r="158" spans="1:10">
      <c r="A158" s="50">
        <v>43413</v>
      </c>
      <c r="B158" s="51">
        <v>40</v>
      </c>
      <c r="C158" s="51">
        <v>49</v>
      </c>
      <c r="D158" s="51">
        <f t="shared" si="5"/>
        <v>9</v>
      </c>
      <c r="E158" s="52" t="str">
        <f t="shared" si="6"/>
        <v>Pass</v>
      </c>
      <c r="F158" s="51">
        <v>1159</v>
      </c>
      <c r="G158" s="53" t="s">
        <v>118</v>
      </c>
      <c r="H158" s="53"/>
      <c r="I158" s="54">
        <v>100</v>
      </c>
      <c r="J158" s="54">
        <v>50</v>
      </c>
    </row>
    <row r="159" spans="1:10">
      <c r="A159" s="50">
        <v>43418</v>
      </c>
      <c r="B159" s="51">
        <v>69</v>
      </c>
      <c r="C159" s="51">
        <v>74</v>
      </c>
      <c r="D159" s="51">
        <f t="shared" si="5"/>
        <v>5</v>
      </c>
      <c r="E159" s="52" t="str">
        <f t="shared" si="6"/>
        <v>Pass</v>
      </c>
      <c r="F159" s="51">
        <v>121</v>
      </c>
      <c r="G159" s="43" t="s">
        <v>119</v>
      </c>
      <c r="H159" s="53"/>
      <c r="I159" s="54">
        <v>100</v>
      </c>
      <c r="J159" s="54">
        <v>50</v>
      </c>
    </row>
    <row r="160" spans="1:10">
      <c r="A160" s="50">
        <v>43424</v>
      </c>
      <c r="B160" s="51">
        <v>36</v>
      </c>
      <c r="C160" s="51">
        <v>43</v>
      </c>
      <c r="D160" s="51">
        <f t="shared" si="5"/>
        <v>7</v>
      </c>
      <c r="E160" s="52" t="str">
        <f t="shared" si="6"/>
        <v>Pass</v>
      </c>
      <c r="F160" s="51">
        <v>1159</v>
      </c>
      <c r="G160" s="43" t="s">
        <v>120</v>
      </c>
      <c r="H160" s="53"/>
      <c r="I160" s="54">
        <v>100</v>
      </c>
      <c r="J160" s="54">
        <v>50</v>
      </c>
    </row>
    <row r="161" spans="1:10">
      <c r="A161" s="50">
        <v>43428</v>
      </c>
      <c r="B161" s="51">
        <v>31</v>
      </c>
      <c r="C161" s="51">
        <v>64</v>
      </c>
      <c r="D161" s="51">
        <f t="shared" si="5"/>
        <v>33</v>
      </c>
      <c r="E161" s="52" t="str">
        <f t="shared" si="6"/>
        <v>Pass</v>
      </c>
      <c r="F161" s="51">
        <v>64</v>
      </c>
      <c r="H161" s="53"/>
      <c r="I161" s="54">
        <v>100</v>
      </c>
      <c r="J161" s="54">
        <v>50</v>
      </c>
    </row>
    <row r="162" spans="1:10">
      <c r="A162" s="50">
        <v>43433</v>
      </c>
      <c r="B162" s="51">
        <v>39</v>
      </c>
      <c r="C162" s="51">
        <v>52</v>
      </c>
      <c r="D162" s="51">
        <f t="shared" si="5"/>
        <v>13</v>
      </c>
      <c r="E162" s="52" t="str">
        <f t="shared" si="6"/>
        <v>Pass</v>
      </c>
      <c r="F162" s="51">
        <v>1340</v>
      </c>
      <c r="H162" s="53"/>
      <c r="I162" s="54">
        <v>100</v>
      </c>
      <c r="J162" s="54">
        <v>50</v>
      </c>
    </row>
    <row r="163" spans="1:10">
      <c r="A163" s="50">
        <v>43448</v>
      </c>
      <c r="B163" s="51">
        <v>10</v>
      </c>
      <c r="C163" s="51">
        <v>25</v>
      </c>
      <c r="D163" s="51">
        <f t="shared" si="5"/>
        <v>15</v>
      </c>
      <c r="E163" s="52" t="str">
        <f t="shared" si="6"/>
        <v>Pass</v>
      </c>
      <c r="F163" s="51">
        <v>121</v>
      </c>
      <c r="G163" s="43" t="s">
        <v>121</v>
      </c>
      <c r="H163" s="43" t="s">
        <v>122</v>
      </c>
      <c r="I163" s="54">
        <v>100</v>
      </c>
      <c r="J163" s="54">
        <v>50</v>
      </c>
    </row>
    <row r="164" spans="1:10">
      <c r="A164" s="50">
        <v>43452</v>
      </c>
      <c r="B164" s="51">
        <v>16</v>
      </c>
      <c r="C164" s="51">
        <v>20</v>
      </c>
      <c r="D164" s="51">
        <f t="shared" si="5"/>
        <v>4</v>
      </c>
      <c r="E164" s="52" t="str">
        <f t="shared" si="6"/>
        <v>Pass</v>
      </c>
      <c r="F164" s="51">
        <v>1428</v>
      </c>
      <c r="H164" s="53"/>
      <c r="I164" s="54">
        <v>100</v>
      </c>
      <c r="J164" s="54">
        <v>50</v>
      </c>
    </row>
    <row r="165" spans="1:10">
      <c r="A165" s="50">
        <v>43458</v>
      </c>
      <c r="B165" s="51">
        <v>14</v>
      </c>
      <c r="C165" s="51">
        <v>20</v>
      </c>
      <c r="D165" s="51">
        <f t="shared" ref="D165:D167" si="7">IF(((B165="")*AND(C165="")),"",(C165-B165))</f>
        <v>6</v>
      </c>
      <c r="E165" s="52" t="str">
        <f t="shared" si="6"/>
        <v>Pass</v>
      </c>
      <c r="F165" s="51">
        <v>1340</v>
      </c>
      <c r="H165" s="53"/>
      <c r="I165" s="54">
        <v>100</v>
      </c>
      <c r="J165" s="54">
        <v>50</v>
      </c>
    </row>
    <row r="166" spans="1:10">
      <c r="A166" s="50">
        <v>43462</v>
      </c>
      <c r="B166" s="51">
        <v>25</v>
      </c>
      <c r="C166" s="51">
        <v>12</v>
      </c>
      <c r="D166" s="51">
        <f t="shared" si="7"/>
        <v>-13</v>
      </c>
      <c r="E166" s="52" t="str">
        <f t="shared" si="6"/>
        <v>Pass</v>
      </c>
      <c r="F166" s="51">
        <v>1340</v>
      </c>
      <c r="G166" s="53" t="s">
        <v>121</v>
      </c>
      <c r="H166" s="53"/>
      <c r="I166" s="54">
        <v>100</v>
      </c>
      <c r="J166" s="54">
        <v>50</v>
      </c>
    </row>
    <row r="167" spans="1:10">
      <c r="A167" s="50">
        <v>43466</v>
      </c>
      <c r="B167" s="51">
        <v>29</v>
      </c>
      <c r="C167" s="51">
        <v>28</v>
      </c>
      <c r="D167" s="51">
        <f t="shared" si="7"/>
        <v>-1</v>
      </c>
      <c r="E167" s="52" t="str">
        <f t="shared" si="6"/>
        <v>Pass</v>
      </c>
      <c r="F167" s="51">
        <v>1340</v>
      </c>
      <c r="G167" s="53" t="s">
        <v>23</v>
      </c>
      <c r="H167" s="53"/>
      <c r="I167" s="54">
        <v>100</v>
      </c>
      <c r="J167" s="54">
        <v>50</v>
      </c>
    </row>
    <row r="168" spans="1:10">
      <c r="A168" s="50">
        <v>43469</v>
      </c>
      <c r="B168" s="51">
        <v>18</v>
      </c>
      <c r="C168" s="51">
        <v>34</v>
      </c>
      <c r="D168" s="51">
        <f>IF(((B168="")*AND(C168="")),"",(C168-B168))</f>
        <v>16</v>
      </c>
      <c r="E168" s="52" t="str">
        <f>IF((D168=""),"",IF(D168&lt;=50,"Pass","Fail"))</f>
        <v>Pass</v>
      </c>
      <c r="F168" s="51">
        <v>1159</v>
      </c>
      <c r="G168" s="43" t="s">
        <v>123</v>
      </c>
      <c r="H168" s="53"/>
      <c r="I168" s="54">
        <v>100</v>
      </c>
      <c r="J168" s="54">
        <v>50</v>
      </c>
    </row>
    <row r="169" spans="1:10">
      <c r="A169" s="55"/>
      <c r="B169" s="56"/>
      <c r="C169" s="56"/>
      <c r="D169" s="56"/>
      <c r="E169" s="57"/>
      <c r="F169" s="56"/>
      <c r="G169" s="57"/>
      <c r="H169" s="53"/>
      <c r="I169" s="54">
        <v>100</v>
      </c>
      <c r="J169" s="54">
        <v>50</v>
      </c>
    </row>
    <row r="170" spans="1:10">
      <c r="B170" s="51"/>
      <c r="C170" s="51"/>
      <c r="D170" s="51"/>
      <c r="F170" s="51"/>
      <c r="H170" s="53"/>
      <c r="I170" s="54">
        <v>100</v>
      </c>
      <c r="J170" s="54">
        <v>50</v>
      </c>
    </row>
    <row r="171" spans="1:10">
      <c r="B171" s="51"/>
      <c r="C171" s="51"/>
      <c r="D171" s="51"/>
      <c r="F171" s="51"/>
      <c r="H171" s="53"/>
      <c r="I171" s="54">
        <v>100</v>
      </c>
      <c r="J171" s="54">
        <v>50</v>
      </c>
    </row>
    <row r="172" spans="1:10">
      <c r="B172" s="51"/>
      <c r="C172" s="51"/>
      <c r="D172" s="51"/>
      <c r="F172" s="51"/>
      <c r="H172" s="53"/>
      <c r="I172" s="54">
        <v>100</v>
      </c>
      <c r="J172" s="54">
        <v>50</v>
      </c>
    </row>
    <row r="173" spans="1:10">
      <c r="B173" s="51"/>
      <c r="C173" s="51"/>
      <c r="D173" s="51"/>
      <c r="F173" s="51"/>
      <c r="H173" s="53"/>
      <c r="I173" s="54">
        <v>100</v>
      </c>
      <c r="J173" s="54">
        <v>50</v>
      </c>
    </row>
    <row r="174" spans="1:10">
      <c r="B174" s="51"/>
      <c r="C174" s="51"/>
      <c r="D174" s="51"/>
      <c r="F174" s="51"/>
      <c r="H174" s="53"/>
      <c r="I174" s="54">
        <v>100</v>
      </c>
      <c r="J174" s="54">
        <v>50</v>
      </c>
    </row>
    <row r="175" spans="1:10">
      <c r="B175" s="51"/>
      <c r="C175" s="51"/>
      <c r="D175" s="51"/>
      <c r="F175" s="51"/>
      <c r="H175" s="53"/>
      <c r="I175" s="54">
        <v>100</v>
      </c>
      <c r="J175" s="54">
        <v>50</v>
      </c>
    </row>
    <row r="176" spans="1:10">
      <c r="B176" s="51"/>
      <c r="C176" s="51"/>
      <c r="D176" s="51"/>
      <c r="F176" s="51"/>
      <c r="H176" s="53"/>
      <c r="I176" s="54">
        <v>100</v>
      </c>
      <c r="J176" s="54">
        <v>50</v>
      </c>
    </row>
    <row r="177" spans="2:10">
      <c r="B177" s="51"/>
      <c r="C177" s="51"/>
      <c r="D177" s="51"/>
      <c r="F177" s="51"/>
      <c r="H177" s="53"/>
      <c r="I177" s="54">
        <v>100</v>
      </c>
      <c r="J177" s="54">
        <v>50</v>
      </c>
    </row>
    <row r="178" spans="2:10">
      <c r="B178" s="51"/>
      <c r="C178" s="51"/>
      <c r="D178" s="51"/>
      <c r="F178" s="51"/>
      <c r="H178" s="53"/>
      <c r="I178" s="54">
        <v>100</v>
      </c>
      <c r="J178" s="54">
        <v>50</v>
      </c>
    </row>
    <row r="179" spans="2:10">
      <c r="B179" s="51"/>
      <c r="C179" s="51"/>
      <c r="D179" s="51"/>
      <c r="F179" s="51"/>
      <c r="H179" s="53"/>
      <c r="I179" s="54">
        <v>100</v>
      </c>
      <c r="J179" s="54">
        <v>50</v>
      </c>
    </row>
    <row r="180" spans="2:10">
      <c r="B180" s="51"/>
      <c r="C180" s="51"/>
      <c r="D180" s="51"/>
      <c r="F180" s="51"/>
      <c r="H180" s="53"/>
      <c r="I180" s="54">
        <v>100</v>
      </c>
      <c r="J180" s="54">
        <v>50</v>
      </c>
    </row>
    <row r="181" spans="2:10">
      <c r="B181" s="51"/>
      <c r="C181" s="51"/>
      <c r="D181" s="51"/>
      <c r="F181" s="51"/>
      <c r="H181" s="53"/>
      <c r="I181" s="54">
        <v>100</v>
      </c>
      <c r="J181" s="54">
        <v>50</v>
      </c>
    </row>
    <row r="182" spans="2:10">
      <c r="B182" s="51"/>
      <c r="C182" s="51"/>
      <c r="D182" s="51"/>
      <c r="F182" s="51"/>
      <c r="H182" s="53"/>
      <c r="I182" s="54">
        <v>100</v>
      </c>
      <c r="J182" s="54">
        <v>50</v>
      </c>
    </row>
    <row r="183" spans="2:10">
      <c r="B183" s="51"/>
      <c r="C183" s="51"/>
      <c r="D183" s="51"/>
      <c r="F183" s="51"/>
      <c r="H183" s="53"/>
      <c r="I183" s="54">
        <v>100</v>
      </c>
      <c r="J183" s="54">
        <v>50</v>
      </c>
    </row>
    <row r="184" spans="2:10">
      <c r="B184" s="51"/>
      <c r="C184" s="51"/>
      <c r="D184" s="51"/>
      <c r="F184" s="51"/>
      <c r="H184" s="53"/>
      <c r="I184" s="54">
        <v>100</v>
      </c>
      <c r="J184" s="54">
        <v>50</v>
      </c>
    </row>
    <row r="185" spans="2:10">
      <c r="B185" s="51"/>
      <c r="C185" s="51"/>
      <c r="D185" s="51"/>
      <c r="F185" s="51"/>
      <c r="H185" s="53"/>
      <c r="I185" s="54">
        <v>100</v>
      </c>
      <c r="J185" s="54">
        <v>50</v>
      </c>
    </row>
    <row r="186" spans="2:10">
      <c r="B186" s="51"/>
      <c r="C186" s="51"/>
      <c r="D186" s="51"/>
      <c r="F186" s="51"/>
      <c r="H186" s="53"/>
      <c r="I186" s="54">
        <v>100</v>
      </c>
      <c r="J186" s="54">
        <v>50</v>
      </c>
    </row>
    <row r="187" spans="2:10">
      <c r="B187" s="51"/>
      <c r="C187" s="51"/>
      <c r="D187" s="51"/>
      <c r="F187" s="51"/>
      <c r="H187" s="53"/>
      <c r="I187" s="54">
        <v>100</v>
      </c>
      <c r="J187" s="54">
        <v>50</v>
      </c>
    </row>
    <row r="188" spans="2:10">
      <c r="B188" s="51"/>
      <c r="C188" s="51"/>
      <c r="D188" s="51"/>
      <c r="F188" s="51"/>
      <c r="H188" s="53"/>
      <c r="I188" s="54">
        <v>100</v>
      </c>
      <c r="J188" s="54">
        <v>50</v>
      </c>
    </row>
    <row r="189" spans="2:10">
      <c r="B189" s="51"/>
      <c r="C189" s="51"/>
      <c r="D189" s="51"/>
      <c r="F189" s="51"/>
      <c r="H189" s="53"/>
      <c r="I189" s="54">
        <v>100</v>
      </c>
      <c r="J189" s="54">
        <v>50</v>
      </c>
    </row>
    <row r="190" spans="2:10">
      <c r="B190" s="51"/>
      <c r="C190" s="51"/>
      <c r="D190" s="51"/>
      <c r="F190" s="51"/>
      <c r="H190" s="53"/>
      <c r="I190" s="54">
        <v>100</v>
      </c>
      <c r="J190" s="54">
        <v>50</v>
      </c>
    </row>
    <row r="191" spans="2:10">
      <c r="B191" s="51"/>
      <c r="C191" s="51"/>
      <c r="D191" s="51"/>
      <c r="F191" s="51"/>
      <c r="H191" s="53"/>
      <c r="I191" s="54">
        <v>100</v>
      </c>
      <c r="J191" s="54">
        <v>50</v>
      </c>
    </row>
    <row r="192" spans="2:10">
      <c r="B192" s="51"/>
      <c r="C192" s="51"/>
      <c r="D192" s="51"/>
      <c r="F192" s="51"/>
      <c r="H192" s="53"/>
      <c r="I192" s="54">
        <v>100</v>
      </c>
      <c r="J192" s="54">
        <v>50</v>
      </c>
    </row>
    <row r="193" spans="2:10">
      <c r="B193" s="51"/>
      <c r="C193" s="51"/>
      <c r="D193" s="51"/>
      <c r="F193" s="51"/>
      <c r="H193" s="53"/>
      <c r="I193" s="54">
        <v>100</v>
      </c>
      <c r="J193" s="54">
        <v>50</v>
      </c>
    </row>
    <row r="194" spans="2:10">
      <c r="B194" s="51"/>
      <c r="C194" s="51"/>
      <c r="D194" s="51"/>
      <c r="F194" s="51"/>
      <c r="H194" s="53"/>
      <c r="I194" s="54">
        <v>100</v>
      </c>
      <c r="J194" s="54">
        <v>50</v>
      </c>
    </row>
    <row r="195" spans="2:10">
      <c r="B195" s="51"/>
      <c r="C195" s="51"/>
      <c r="D195" s="51"/>
      <c r="F195" s="51"/>
      <c r="H195" s="53"/>
      <c r="I195" s="54">
        <v>100</v>
      </c>
      <c r="J195" s="54">
        <v>50</v>
      </c>
    </row>
    <row r="196" spans="2:10">
      <c r="B196" s="51"/>
      <c r="C196" s="51"/>
      <c r="D196" s="51"/>
      <c r="F196" s="51"/>
      <c r="H196" s="53"/>
      <c r="I196" s="54">
        <v>100</v>
      </c>
      <c r="J196" s="54">
        <v>50</v>
      </c>
    </row>
    <row r="197" spans="2:10">
      <c r="B197" s="51"/>
      <c r="C197" s="51"/>
      <c r="D197" s="51"/>
      <c r="F197" s="51"/>
      <c r="H197" s="53"/>
      <c r="I197" s="54">
        <v>100</v>
      </c>
      <c r="J197" s="54">
        <v>50</v>
      </c>
    </row>
    <row r="198" spans="2:10">
      <c r="B198" s="51"/>
      <c r="C198" s="51"/>
      <c r="D198" s="51"/>
      <c r="F198" s="51"/>
      <c r="H198" s="53"/>
      <c r="I198" s="54">
        <v>100</v>
      </c>
      <c r="J198" s="54">
        <v>50</v>
      </c>
    </row>
    <row r="199" spans="2:10">
      <c r="B199" s="51"/>
      <c r="C199" s="51"/>
      <c r="D199" s="51"/>
      <c r="F199" s="51"/>
      <c r="H199" s="53"/>
      <c r="I199" s="54">
        <v>100</v>
      </c>
      <c r="J199" s="54">
        <v>50</v>
      </c>
    </row>
    <row r="200" spans="2:10">
      <c r="B200" s="51"/>
      <c r="C200" s="51"/>
      <c r="D200" s="51"/>
      <c r="F200" s="51"/>
      <c r="H200" s="53"/>
      <c r="I200" s="54">
        <v>100</v>
      </c>
      <c r="J200" s="54">
        <v>50</v>
      </c>
    </row>
    <row r="201" spans="2:10">
      <c r="B201" s="51"/>
      <c r="C201" s="51"/>
      <c r="D201" s="51"/>
      <c r="F201" s="51"/>
      <c r="H201" s="53"/>
      <c r="I201" s="54">
        <v>100</v>
      </c>
      <c r="J201" s="54">
        <v>50</v>
      </c>
    </row>
    <row r="202" spans="2:10">
      <c r="B202" s="51"/>
      <c r="C202" s="51"/>
      <c r="D202" s="51"/>
      <c r="F202" s="51"/>
      <c r="H202" s="53"/>
      <c r="I202" s="54">
        <v>100</v>
      </c>
      <c r="J202" s="54">
        <v>50</v>
      </c>
    </row>
    <row r="203" spans="2:10">
      <c r="B203" s="51"/>
      <c r="C203" s="51"/>
      <c r="D203" s="51"/>
      <c r="F203" s="51"/>
      <c r="H203" s="53"/>
      <c r="I203" s="54">
        <v>100</v>
      </c>
      <c r="J203" s="54">
        <v>50</v>
      </c>
    </row>
    <row r="204" spans="2:10">
      <c r="B204" s="51"/>
      <c r="C204" s="51"/>
      <c r="D204" s="51"/>
      <c r="F204" s="51"/>
      <c r="H204" s="53"/>
      <c r="I204" s="54">
        <v>100</v>
      </c>
      <c r="J204" s="54">
        <v>50</v>
      </c>
    </row>
    <row r="205" spans="2:10">
      <c r="B205" s="51"/>
      <c r="C205" s="51"/>
      <c r="D205" s="51"/>
      <c r="F205" s="51"/>
      <c r="H205" s="53"/>
      <c r="I205" s="54">
        <v>100</v>
      </c>
      <c r="J205" s="54">
        <v>50</v>
      </c>
    </row>
    <row r="206" spans="2:10">
      <c r="B206" s="51"/>
      <c r="C206" s="51"/>
      <c r="D206" s="51"/>
      <c r="F206" s="51"/>
      <c r="H206" s="53"/>
      <c r="I206" s="54">
        <v>100</v>
      </c>
      <c r="J206" s="54">
        <v>50</v>
      </c>
    </row>
    <row r="207" spans="2:10">
      <c r="B207" s="51"/>
      <c r="C207" s="51"/>
      <c r="D207" s="51"/>
      <c r="F207" s="51"/>
      <c r="H207" s="53"/>
      <c r="I207" s="54">
        <v>100</v>
      </c>
      <c r="J207" s="54">
        <v>50</v>
      </c>
    </row>
    <row r="208" spans="2:10">
      <c r="B208" s="51"/>
      <c r="C208" s="51"/>
      <c r="D208" s="51"/>
      <c r="F208" s="51"/>
      <c r="H208" s="53"/>
      <c r="I208" s="54">
        <v>100</v>
      </c>
      <c r="J208" s="54">
        <v>50</v>
      </c>
    </row>
    <row r="209" spans="2:10">
      <c r="B209" s="51"/>
      <c r="C209" s="51"/>
      <c r="D209" s="51"/>
      <c r="F209" s="51"/>
      <c r="H209" s="53"/>
      <c r="I209" s="54">
        <v>100</v>
      </c>
      <c r="J209" s="54">
        <v>50</v>
      </c>
    </row>
    <row r="210" spans="2:10">
      <c r="B210" s="51"/>
      <c r="C210" s="51"/>
      <c r="D210" s="51"/>
      <c r="F210" s="51"/>
      <c r="H210" s="53"/>
      <c r="I210" s="54">
        <v>100</v>
      </c>
      <c r="J210" s="54">
        <v>50</v>
      </c>
    </row>
    <row r="211" spans="2:10">
      <c r="B211" s="51"/>
      <c r="C211" s="51"/>
      <c r="D211" s="51"/>
      <c r="F211" s="51"/>
      <c r="H211" s="53"/>
      <c r="I211" s="54">
        <v>100</v>
      </c>
      <c r="J211" s="54">
        <v>50</v>
      </c>
    </row>
    <row r="212" spans="2:10">
      <c r="B212" s="51"/>
      <c r="C212" s="51"/>
      <c r="D212" s="51"/>
      <c r="F212" s="51"/>
      <c r="H212" s="53"/>
      <c r="I212" s="54">
        <v>100</v>
      </c>
      <c r="J212" s="54">
        <v>50</v>
      </c>
    </row>
    <row r="213" spans="2:10">
      <c r="B213" s="51"/>
      <c r="C213" s="51"/>
      <c r="D213" s="51"/>
      <c r="F213" s="51"/>
      <c r="H213" s="53"/>
      <c r="I213" s="54">
        <v>100</v>
      </c>
      <c r="J213" s="54">
        <v>50</v>
      </c>
    </row>
    <row r="214" spans="2:10">
      <c r="B214" s="51"/>
      <c r="C214" s="51"/>
      <c r="D214" s="51"/>
      <c r="F214" s="51"/>
      <c r="H214" s="53"/>
      <c r="I214" s="54">
        <v>100</v>
      </c>
      <c r="J214" s="54">
        <v>50</v>
      </c>
    </row>
    <row r="215" spans="2:10">
      <c r="B215" s="51"/>
      <c r="C215" s="51"/>
      <c r="D215" s="51"/>
      <c r="F215" s="51"/>
      <c r="H215" s="53"/>
      <c r="I215" s="54">
        <v>100</v>
      </c>
      <c r="J215" s="54">
        <v>50</v>
      </c>
    </row>
    <row r="216" spans="2:10">
      <c r="B216" s="51"/>
      <c r="C216" s="51"/>
      <c r="D216" s="51"/>
      <c r="F216" s="51"/>
      <c r="H216" s="53"/>
      <c r="I216" s="54">
        <v>100</v>
      </c>
      <c r="J216" s="54">
        <v>50</v>
      </c>
    </row>
    <row r="217" spans="2:10">
      <c r="B217" s="51"/>
      <c r="C217" s="51"/>
      <c r="D217" s="51"/>
      <c r="F217" s="51"/>
      <c r="H217" s="53"/>
      <c r="I217" s="54">
        <v>100</v>
      </c>
      <c r="J217" s="54">
        <v>50</v>
      </c>
    </row>
    <row r="218" spans="2:10">
      <c r="B218" s="51"/>
      <c r="C218" s="51"/>
      <c r="D218" s="51"/>
      <c r="F218" s="51"/>
      <c r="H218" s="53"/>
      <c r="I218" s="54">
        <v>100</v>
      </c>
      <c r="J218" s="54">
        <v>50</v>
      </c>
    </row>
    <row r="219" spans="2:10">
      <c r="B219" s="51"/>
      <c r="C219" s="51"/>
      <c r="D219" s="51"/>
      <c r="F219" s="51"/>
      <c r="H219" s="53"/>
      <c r="I219" s="54">
        <v>100</v>
      </c>
      <c r="J219" s="54">
        <v>50</v>
      </c>
    </row>
    <row r="220" spans="2:10">
      <c r="B220" s="51"/>
      <c r="C220" s="51"/>
      <c r="D220" s="51"/>
      <c r="F220" s="51"/>
      <c r="H220" s="53"/>
      <c r="I220" s="54">
        <v>100</v>
      </c>
      <c r="J220" s="54">
        <v>50</v>
      </c>
    </row>
    <row r="221" spans="2:10">
      <c r="B221" s="51"/>
      <c r="C221" s="51"/>
      <c r="D221" s="51"/>
      <c r="F221" s="51"/>
      <c r="H221" s="53"/>
      <c r="I221" s="54">
        <v>100</v>
      </c>
      <c r="J221" s="54">
        <v>50</v>
      </c>
    </row>
    <row r="222" spans="2:10">
      <c r="B222" s="51"/>
      <c r="C222" s="51"/>
      <c r="D222" s="51"/>
      <c r="F222" s="51"/>
      <c r="H222" s="53"/>
      <c r="I222" s="54">
        <v>100</v>
      </c>
      <c r="J222" s="54">
        <v>50</v>
      </c>
    </row>
    <row r="223" spans="2:10">
      <c r="B223" s="51"/>
      <c r="C223" s="51"/>
      <c r="D223" s="51"/>
      <c r="F223" s="51"/>
      <c r="H223" s="53"/>
      <c r="I223" s="54">
        <v>100</v>
      </c>
      <c r="J223" s="54">
        <v>50</v>
      </c>
    </row>
    <row r="224" spans="2:10">
      <c r="B224" s="51"/>
      <c r="C224" s="51"/>
      <c r="D224" s="51"/>
      <c r="F224" s="51"/>
      <c r="H224" s="53"/>
      <c r="I224" s="54">
        <v>100</v>
      </c>
      <c r="J224" s="54">
        <v>50</v>
      </c>
    </row>
    <row r="225" spans="2:10">
      <c r="B225" s="51"/>
      <c r="C225" s="51"/>
      <c r="D225" s="51"/>
      <c r="F225" s="51"/>
      <c r="H225" s="53"/>
      <c r="I225" s="54">
        <v>100</v>
      </c>
      <c r="J225" s="54">
        <v>50</v>
      </c>
    </row>
    <row r="226" spans="2:10">
      <c r="B226" s="51"/>
      <c r="C226" s="51"/>
      <c r="D226" s="51"/>
      <c r="F226" s="51"/>
      <c r="H226" s="53"/>
      <c r="I226" s="54">
        <v>100</v>
      </c>
      <c r="J226" s="54">
        <v>50</v>
      </c>
    </row>
    <row r="227" spans="2:10">
      <c r="B227" s="51"/>
      <c r="C227" s="51"/>
      <c r="D227" s="51"/>
      <c r="F227" s="51"/>
      <c r="H227" s="53"/>
      <c r="I227" s="54">
        <v>100</v>
      </c>
      <c r="J227" s="54">
        <v>50</v>
      </c>
    </row>
    <row r="228" spans="2:10">
      <c r="B228" s="51"/>
      <c r="C228" s="51"/>
      <c r="D228" s="51"/>
      <c r="F228" s="51"/>
      <c r="H228" s="53"/>
      <c r="I228" s="54">
        <v>100</v>
      </c>
      <c r="J228" s="54">
        <v>50</v>
      </c>
    </row>
    <row r="229" spans="2:10">
      <c r="B229" s="51"/>
      <c r="C229" s="51"/>
      <c r="D229" s="51"/>
      <c r="F229" s="51"/>
      <c r="H229" s="53"/>
      <c r="I229" s="54">
        <v>100</v>
      </c>
      <c r="J229" s="54">
        <v>50</v>
      </c>
    </row>
    <row r="230" spans="2:10">
      <c r="B230" s="51"/>
      <c r="C230" s="51"/>
      <c r="D230" s="51"/>
      <c r="F230" s="51"/>
      <c r="H230" s="53"/>
      <c r="I230" s="54">
        <v>100</v>
      </c>
      <c r="J230" s="54">
        <v>50</v>
      </c>
    </row>
    <row r="231" spans="2:10">
      <c r="B231" s="51"/>
      <c r="C231" s="51"/>
      <c r="D231" s="51"/>
      <c r="F231" s="51"/>
      <c r="H231" s="53"/>
      <c r="I231" s="54">
        <v>100</v>
      </c>
      <c r="J231" s="54">
        <v>50</v>
      </c>
    </row>
    <row r="232" spans="2:10">
      <c r="B232" s="51"/>
      <c r="C232" s="51"/>
      <c r="D232" s="51"/>
      <c r="F232" s="51"/>
      <c r="H232" s="53"/>
      <c r="I232" s="54">
        <v>100</v>
      </c>
      <c r="J232" s="54">
        <v>50</v>
      </c>
    </row>
    <row r="233" spans="2:10">
      <c r="B233" s="51"/>
      <c r="C233" s="51"/>
      <c r="D233" s="51"/>
      <c r="F233" s="51"/>
      <c r="H233" s="53"/>
      <c r="I233" s="54">
        <v>100</v>
      </c>
      <c r="J233" s="54">
        <v>50</v>
      </c>
    </row>
    <row r="234" spans="2:10">
      <c r="B234" s="51"/>
      <c r="C234" s="51"/>
      <c r="D234" s="51"/>
      <c r="F234" s="51"/>
      <c r="H234" s="53"/>
      <c r="I234" s="54">
        <v>100</v>
      </c>
      <c r="J234" s="54">
        <v>50</v>
      </c>
    </row>
    <row r="235" spans="2:10">
      <c r="B235" s="51"/>
      <c r="C235" s="51"/>
      <c r="D235" s="51"/>
      <c r="F235" s="51"/>
      <c r="H235" s="53"/>
      <c r="I235" s="54">
        <v>100</v>
      </c>
      <c r="J235" s="54">
        <v>50</v>
      </c>
    </row>
    <row r="236" spans="2:10">
      <c r="B236" s="51"/>
      <c r="C236" s="51"/>
      <c r="D236" s="51"/>
      <c r="F236" s="51"/>
      <c r="H236" s="53"/>
      <c r="I236" s="54">
        <v>100</v>
      </c>
      <c r="J236" s="54">
        <v>50</v>
      </c>
    </row>
    <row r="237" spans="2:10">
      <c r="B237" s="51"/>
      <c r="C237" s="51"/>
      <c r="D237" s="51"/>
      <c r="F237" s="51"/>
      <c r="H237" s="53"/>
      <c r="I237" s="54">
        <v>100</v>
      </c>
      <c r="J237" s="54">
        <v>50</v>
      </c>
    </row>
    <row r="238" spans="2:10">
      <c r="B238" s="51"/>
      <c r="C238" s="51"/>
      <c r="D238" s="51"/>
      <c r="F238" s="51"/>
      <c r="H238" s="53"/>
      <c r="I238" s="54">
        <v>100</v>
      </c>
      <c r="J238" s="54">
        <v>50</v>
      </c>
    </row>
    <row r="239" spans="2:10">
      <c r="B239" s="51"/>
      <c r="C239" s="51"/>
      <c r="D239" s="51"/>
      <c r="F239" s="51"/>
      <c r="H239" s="53"/>
      <c r="I239" s="54">
        <v>100</v>
      </c>
      <c r="J239" s="54">
        <v>50</v>
      </c>
    </row>
    <row r="240" spans="2:10">
      <c r="B240" s="51"/>
      <c r="C240" s="51"/>
      <c r="D240" s="51"/>
      <c r="F240" s="51"/>
      <c r="H240" s="53"/>
      <c r="I240" s="54">
        <v>100</v>
      </c>
      <c r="J240" s="54">
        <v>50</v>
      </c>
    </row>
    <row r="241" spans="2:10">
      <c r="B241" s="51"/>
      <c r="C241" s="51"/>
      <c r="D241" s="51"/>
      <c r="F241" s="51"/>
      <c r="H241" s="53"/>
      <c r="I241" s="54">
        <v>100</v>
      </c>
      <c r="J241" s="54">
        <v>50</v>
      </c>
    </row>
    <row r="242" spans="2:10">
      <c r="B242" s="51"/>
      <c r="C242" s="51"/>
      <c r="D242" s="51"/>
      <c r="F242" s="51"/>
      <c r="H242" s="53"/>
      <c r="I242" s="54">
        <v>100</v>
      </c>
      <c r="J242" s="54">
        <v>50</v>
      </c>
    </row>
    <row r="243" spans="2:10">
      <c r="B243" s="51"/>
      <c r="C243" s="51"/>
      <c r="D243" s="51"/>
      <c r="F243" s="51"/>
      <c r="H243" s="53"/>
      <c r="I243" s="54">
        <v>100</v>
      </c>
      <c r="J243" s="54">
        <v>50</v>
      </c>
    </row>
    <row r="244" spans="2:10">
      <c r="B244" s="51"/>
      <c r="C244" s="51"/>
      <c r="D244" s="51"/>
      <c r="F244" s="51"/>
      <c r="H244" s="53"/>
      <c r="I244" s="54">
        <v>100</v>
      </c>
      <c r="J244" s="54">
        <v>50</v>
      </c>
    </row>
    <row r="245" spans="2:10">
      <c r="B245" s="51"/>
      <c r="C245" s="51"/>
      <c r="D245" s="51"/>
      <c r="F245" s="51"/>
      <c r="H245" s="53"/>
      <c r="I245" s="54">
        <v>100</v>
      </c>
      <c r="J245" s="54">
        <v>50</v>
      </c>
    </row>
    <row r="246" spans="2:10">
      <c r="B246" s="51"/>
      <c r="C246" s="51"/>
      <c r="D246" s="51"/>
      <c r="F246" s="51"/>
      <c r="H246" s="53"/>
      <c r="I246" s="54">
        <v>100</v>
      </c>
      <c r="J246" s="54">
        <v>50</v>
      </c>
    </row>
    <row r="247" spans="2:10">
      <c r="B247" s="51"/>
      <c r="C247" s="51"/>
      <c r="D247" s="51"/>
      <c r="F247" s="51"/>
      <c r="H247" s="53"/>
      <c r="I247" s="54">
        <v>100</v>
      </c>
      <c r="J247" s="54">
        <v>50</v>
      </c>
    </row>
    <row r="248" spans="2:10">
      <c r="B248" s="51"/>
      <c r="C248" s="51"/>
      <c r="D248" s="51"/>
      <c r="F248" s="51"/>
      <c r="H248" s="53"/>
      <c r="I248" s="54">
        <v>100</v>
      </c>
      <c r="J248" s="54">
        <v>50</v>
      </c>
    </row>
    <row r="249" spans="2:10">
      <c r="B249" s="51"/>
      <c r="C249" s="51"/>
      <c r="D249" s="51"/>
      <c r="F249" s="51"/>
      <c r="H249" s="53"/>
      <c r="I249" s="54">
        <v>100</v>
      </c>
      <c r="J249" s="54">
        <v>50</v>
      </c>
    </row>
    <row r="250" spans="2:10">
      <c r="B250" s="51"/>
      <c r="C250" s="51"/>
      <c r="D250" s="51"/>
      <c r="F250" s="51"/>
      <c r="H250" s="53"/>
      <c r="I250" s="54">
        <v>100</v>
      </c>
      <c r="J250" s="54">
        <v>50</v>
      </c>
    </row>
    <row r="251" spans="2:10">
      <c r="B251" s="51"/>
      <c r="C251" s="51"/>
      <c r="D251" s="51"/>
      <c r="F251" s="51"/>
      <c r="H251" s="53"/>
      <c r="I251" s="54">
        <v>100</v>
      </c>
      <c r="J251" s="54">
        <v>50</v>
      </c>
    </row>
    <row r="252" spans="2:10">
      <c r="B252" s="51"/>
      <c r="C252" s="51"/>
      <c r="D252" s="51"/>
      <c r="F252" s="51"/>
      <c r="H252" s="53"/>
      <c r="I252" s="54">
        <v>100</v>
      </c>
      <c r="J252" s="54">
        <v>50</v>
      </c>
    </row>
    <row r="253" spans="2:10">
      <c r="B253" s="51"/>
      <c r="C253" s="51"/>
      <c r="D253" s="51"/>
      <c r="F253" s="51"/>
      <c r="H253" s="53"/>
      <c r="I253" s="54">
        <v>100</v>
      </c>
      <c r="J253" s="54">
        <v>50</v>
      </c>
    </row>
    <row r="254" spans="2:10">
      <c r="B254" s="51"/>
      <c r="C254" s="51"/>
      <c r="D254" s="51"/>
      <c r="F254" s="51"/>
      <c r="H254" s="53"/>
      <c r="I254" s="54">
        <v>100</v>
      </c>
      <c r="J254" s="54">
        <v>50</v>
      </c>
    </row>
    <row r="255" spans="2:10">
      <c r="B255" s="51"/>
      <c r="C255" s="51"/>
      <c r="D255" s="51"/>
      <c r="F255" s="51"/>
      <c r="H255" s="53"/>
      <c r="I255" s="54">
        <v>100</v>
      </c>
      <c r="J255" s="54">
        <v>50</v>
      </c>
    </row>
    <row r="256" spans="2:10">
      <c r="B256" s="51"/>
      <c r="C256" s="51"/>
      <c r="D256" s="51"/>
      <c r="F256" s="51"/>
      <c r="H256" s="53"/>
      <c r="I256" s="54">
        <v>100</v>
      </c>
      <c r="J256" s="54">
        <v>50</v>
      </c>
    </row>
    <row r="257" spans="2:10">
      <c r="B257" s="51"/>
      <c r="C257" s="51"/>
      <c r="D257" s="51"/>
      <c r="F257" s="51"/>
      <c r="H257" s="53"/>
      <c r="I257" s="54">
        <v>100</v>
      </c>
      <c r="J257" s="54">
        <v>50</v>
      </c>
    </row>
    <row r="258" spans="2:10">
      <c r="B258" s="51"/>
      <c r="C258" s="51"/>
      <c r="D258" s="51"/>
      <c r="F258" s="51"/>
      <c r="H258" s="53"/>
      <c r="I258" s="54">
        <v>100</v>
      </c>
      <c r="J258" s="54">
        <v>50</v>
      </c>
    </row>
    <row r="259" spans="2:10">
      <c r="B259" s="51"/>
      <c r="C259" s="51"/>
      <c r="D259" s="51"/>
      <c r="F259" s="51"/>
      <c r="H259" s="53"/>
      <c r="I259" s="54">
        <v>100</v>
      </c>
      <c r="J259" s="54">
        <v>50</v>
      </c>
    </row>
    <row r="260" spans="2:10">
      <c r="B260" s="51"/>
      <c r="C260" s="51"/>
      <c r="D260" s="51"/>
      <c r="F260" s="51"/>
      <c r="H260" s="53"/>
      <c r="I260" s="54">
        <v>100</v>
      </c>
      <c r="J260" s="54">
        <v>50</v>
      </c>
    </row>
    <row r="261" spans="2:10">
      <c r="B261" s="51"/>
      <c r="C261" s="51"/>
      <c r="D261" s="51"/>
      <c r="F261" s="51"/>
      <c r="H261" s="53"/>
      <c r="I261" s="54">
        <v>100</v>
      </c>
      <c r="J261" s="54">
        <v>50</v>
      </c>
    </row>
    <row r="262" spans="2:10">
      <c r="B262" s="51"/>
      <c r="C262" s="51"/>
      <c r="D262" s="51"/>
      <c r="F262" s="51"/>
      <c r="H262" s="53"/>
      <c r="I262" s="54">
        <v>100</v>
      </c>
      <c r="J262" s="54">
        <v>50</v>
      </c>
    </row>
    <row r="263" spans="2:10">
      <c r="B263" s="51"/>
      <c r="C263" s="51"/>
      <c r="D263" s="51"/>
      <c r="F263" s="51"/>
      <c r="H263" s="53"/>
      <c r="I263" s="54">
        <v>100</v>
      </c>
      <c r="J263" s="54">
        <v>50</v>
      </c>
    </row>
    <row r="264" spans="2:10">
      <c r="B264" s="51"/>
      <c r="C264" s="51"/>
      <c r="D264" s="51"/>
      <c r="F264" s="51"/>
      <c r="H264" s="53"/>
      <c r="I264" s="54">
        <v>100</v>
      </c>
      <c r="J264" s="54">
        <v>50</v>
      </c>
    </row>
    <row r="265" spans="2:10">
      <c r="B265" s="51"/>
      <c r="C265" s="51"/>
      <c r="D265" s="51"/>
      <c r="F265" s="51"/>
      <c r="H265" s="53"/>
      <c r="I265" s="54">
        <v>100</v>
      </c>
      <c r="J265" s="54">
        <v>50</v>
      </c>
    </row>
    <row r="266" spans="2:10">
      <c r="B266" s="51"/>
      <c r="C266" s="51"/>
      <c r="D266" s="51"/>
      <c r="F266" s="51"/>
      <c r="H266" s="53"/>
      <c r="I266" s="54">
        <v>100</v>
      </c>
      <c r="J266" s="54">
        <v>50</v>
      </c>
    </row>
    <row r="267" spans="2:10">
      <c r="B267" s="51"/>
      <c r="C267" s="51"/>
      <c r="D267" s="51"/>
      <c r="F267" s="51"/>
      <c r="H267" s="53"/>
      <c r="I267" s="54">
        <v>100</v>
      </c>
      <c r="J267" s="54">
        <v>50</v>
      </c>
    </row>
    <row r="268" spans="2:10">
      <c r="B268" s="51"/>
      <c r="C268" s="51"/>
      <c r="D268" s="51"/>
      <c r="F268" s="51"/>
      <c r="H268" s="53"/>
      <c r="I268" s="54">
        <v>100</v>
      </c>
      <c r="J268" s="54">
        <v>50</v>
      </c>
    </row>
    <row r="269" spans="2:10">
      <c r="B269" s="51"/>
      <c r="C269" s="51"/>
      <c r="D269" s="51"/>
      <c r="F269" s="51"/>
      <c r="H269" s="53"/>
      <c r="I269" s="54">
        <v>100</v>
      </c>
      <c r="J269" s="54">
        <v>50</v>
      </c>
    </row>
    <row r="270" spans="2:10">
      <c r="B270" s="51"/>
      <c r="C270" s="51"/>
      <c r="D270" s="51"/>
      <c r="F270" s="51"/>
      <c r="H270" s="53"/>
      <c r="I270" s="54">
        <v>100</v>
      </c>
      <c r="J270" s="54">
        <v>50</v>
      </c>
    </row>
    <row r="271" spans="2:10">
      <c r="B271" s="51"/>
      <c r="C271" s="51"/>
      <c r="D271" s="51"/>
      <c r="F271" s="51"/>
      <c r="H271" s="53"/>
      <c r="I271" s="54">
        <v>100</v>
      </c>
      <c r="J271" s="54">
        <v>50</v>
      </c>
    </row>
    <row r="272" spans="2:10">
      <c r="B272" s="51"/>
      <c r="C272" s="51"/>
      <c r="D272" s="51"/>
      <c r="F272" s="51"/>
      <c r="H272" s="53"/>
      <c r="I272" s="54">
        <v>100</v>
      </c>
      <c r="J272" s="54">
        <v>50</v>
      </c>
    </row>
    <row r="273" spans="2:10">
      <c r="B273" s="51"/>
      <c r="C273" s="51"/>
      <c r="D273" s="51"/>
      <c r="F273" s="51"/>
      <c r="H273" s="53"/>
      <c r="I273" s="54">
        <v>100</v>
      </c>
      <c r="J273" s="54">
        <v>50</v>
      </c>
    </row>
    <row r="274" spans="2:10">
      <c r="B274" s="51"/>
      <c r="C274" s="51"/>
      <c r="D274" s="51"/>
      <c r="F274" s="51"/>
      <c r="H274" s="53"/>
      <c r="I274" s="54">
        <v>100</v>
      </c>
      <c r="J274" s="54">
        <v>50</v>
      </c>
    </row>
    <row r="275" spans="2:10">
      <c r="B275" s="51"/>
      <c r="C275" s="51"/>
      <c r="D275" s="51"/>
      <c r="F275" s="51"/>
      <c r="H275" s="53"/>
      <c r="I275" s="54">
        <v>100</v>
      </c>
      <c r="J275" s="54">
        <v>50</v>
      </c>
    </row>
    <row r="276" spans="2:10">
      <c r="B276" s="51"/>
      <c r="C276" s="51"/>
      <c r="D276" s="51"/>
      <c r="F276" s="51"/>
      <c r="H276" s="53"/>
      <c r="I276" s="54">
        <v>100</v>
      </c>
      <c r="J276" s="54">
        <v>50</v>
      </c>
    </row>
    <row r="277" spans="2:10">
      <c r="B277" s="51"/>
      <c r="C277" s="51"/>
      <c r="D277" s="51"/>
      <c r="F277" s="51"/>
      <c r="H277" s="53"/>
      <c r="I277" s="54">
        <v>100</v>
      </c>
      <c r="J277" s="54">
        <v>50</v>
      </c>
    </row>
    <row r="278" spans="2:10">
      <c r="B278" s="51"/>
      <c r="C278" s="51"/>
      <c r="D278" s="51"/>
      <c r="F278" s="51"/>
      <c r="H278" s="53"/>
      <c r="I278" s="54">
        <v>100</v>
      </c>
      <c r="J278" s="54">
        <v>50</v>
      </c>
    </row>
    <row r="279" spans="2:10">
      <c r="B279" s="51"/>
      <c r="C279" s="51"/>
      <c r="D279" s="51"/>
      <c r="F279" s="51"/>
      <c r="H279" s="53"/>
      <c r="I279" s="54">
        <v>100</v>
      </c>
      <c r="J279" s="54">
        <v>50</v>
      </c>
    </row>
    <row r="280" spans="2:10">
      <c r="B280" s="51"/>
      <c r="C280" s="51"/>
      <c r="D280" s="51"/>
      <c r="F280" s="51"/>
      <c r="H280" s="53"/>
      <c r="I280" s="54">
        <v>100</v>
      </c>
      <c r="J280" s="54">
        <v>50</v>
      </c>
    </row>
    <row r="281" spans="2:10">
      <c r="B281" s="51"/>
      <c r="C281" s="51"/>
      <c r="D281" s="51"/>
      <c r="F281" s="51"/>
      <c r="H281" s="53"/>
      <c r="I281" s="54">
        <v>100</v>
      </c>
      <c r="J281" s="54">
        <v>50</v>
      </c>
    </row>
    <row r="282" spans="2:10">
      <c r="B282" s="51"/>
      <c r="C282" s="51"/>
      <c r="D282" s="51"/>
      <c r="F282" s="51"/>
      <c r="H282" s="53"/>
      <c r="I282" s="54">
        <v>100</v>
      </c>
      <c r="J282" s="54">
        <v>50</v>
      </c>
    </row>
    <row r="283" spans="2:10">
      <c r="B283" s="51"/>
      <c r="C283" s="51"/>
      <c r="D283" s="51"/>
      <c r="F283" s="51"/>
      <c r="H283" s="53"/>
      <c r="I283" s="54">
        <v>100</v>
      </c>
      <c r="J283" s="54">
        <v>50</v>
      </c>
    </row>
    <row r="284" spans="2:10">
      <c r="B284" s="51"/>
      <c r="C284" s="51"/>
      <c r="D284" s="51"/>
      <c r="F284" s="51"/>
      <c r="H284" s="53"/>
      <c r="I284" s="54">
        <v>100</v>
      </c>
      <c r="J284" s="54">
        <v>50</v>
      </c>
    </row>
    <row r="285" spans="2:10">
      <c r="B285" s="51"/>
      <c r="C285" s="51"/>
      <c r="D285" s="51"/>
      <c r="F285" s="51"/>
      <c r="H285" s="53"/>
      <c r="I285" s="54">
        <v>100</v>
      </c>
      <c r="J285" s="54">
        <v>50</v>
      </c>
    </row>
    <row r="286" spans="2:10">
      <c r="B286" s="51"/>
      <c r="C286" s="51"/>
      <c r="D286" s="51"/>
      <c r="F286" s="51"/>
      <c r="H286" s="53"/>
      <c r="I286" s="54">
        <v>100</v>
      </c>
      <c r="J286" s="54">
        <v>50</v>
      </c>
    </row>
    <row r="287" spans="2:10">
      <c r="B287" s="51"/>
      <c r="C287" s="51"/>
      <c r="D287" s="51"/>
      <c r="F287" s="51"/>
      <c r="H287" s="53"/>
      <c r="I287" s="54">
        <v>100</v>
      </c>
      <c r="J287" s="54">
        <v>50</v>
      </c>
    </row>
    <row r="288" spans="2:10">
      <c r="B288" s="51"/>
      <c r="C288" s="51"/>
      <c r="D288" s="51"/>
      <c r="F288" s="51"/>
      <c r="H288" s="53"/>
      <c r="I288" s="54">
        <v>100</v>
      </c>
      <c r="J288" s="54">
        <v>50</v>
      </c>
    </row>
    <row r="289" spans="2:10">
      <c r="B289" s="51"/>
      <c r="C289" s="51"/>
      <c r="D289" s="51"/>
      <c r="F289" s="51"/>
      <c r="H289" s="53"/>
      <c r="I289" s="54">
        <v>100</v>
      </c>
      <c r="J289" s="54">
        <v>50</v>
      </c>
    </row>
    <row r="290" spans="2:10">
      <c r="B290" s="51"/>
      <c r="C290" s="51"/>
      <c r="D290" s="51"/>
      <c r="F290" s="51"/>
      <c r="H290" s="53"/>
      <c r="I290" s="54">
        <v>100</v>
      </c>
      <c r="J290" s="54">
        <v>50</v>
      </c>
    </row>
    <row r="291" spans="2:10">
      <c r="B291" s="51"/>
      <c r="C291" s="51"/>
      <c r="D291" s="51"/>
      <c r="F291" s="51"/>
      <c r="H291" s="53"/>
      <c r="I291" s="54">
        <v>100</v>
      </c>
      <c r="J291" s="54">
        <v>50</v>
      </c>
    </row>
    <row r="292" spans="2:10">
      <c r="B292" s="51"/>
      <c r="C292" s="51"/>
      <c r="D292" s="51"/>
      <c r="F292" s="51"/>
      <c r="H292" s="53"/>
      <c r="I292" s="54">
        <v>100</v>
      </c>
      <c r="J292" s="54">
        <v>50</v>
      </c>
    </row>
    <row r="293" spans="2:10">
      <c r="B293" s="51"/>
      <c r="C293" s="51"/>
      <c r="D293" s="51"/>
      <c r="F293" s="51"/>
      <c r="H293" s="53"/>
      <c r="I293" s="54">
        <v>100</v>
      </c>
      <c r="J293" s="54">
        <v>50</v>
      </c>
    </row>
    <row r="294" spans="2:10">
      <c r="B294" s="51"/>
      <c r="C294" s="51"/>
      <c r="D294" s="51"/>
      <c r="F294" s="51"/>
      <c r="H294" s="53"/>
      <c r="I294" s="54">
        <v>100</v>
      </c>
      <c r="J294" s="54">
        <v>50</v>
      </c>
    </row>
    <row r="295" spans="2:10">
      <c r="B295" s="51"/>
      <c r="C295" s="51"/>
      <c r="D295" s="51"/>
      <c r="F295" s="51"/>
      <c r="H295" s="53"/>
      <c r="I295" s="54">
        <v>100</v>
      </c>
      <c r="J295" s="54">
        <v>50</v>
      </c>
    </row>
    <row r="296" spans="2:10">
      <c r="B296" s="51"/>
      <c r="C296" s="51"/>
      <c r="D296" s="51"/>
      <c r="F296" s="51"/>
      <c r="H296" s="53"/>
      <c r="I296" s="54">
        <v>100</v>
      </c>
      <c r="J296" s="54">
        <v>50</v>
      </c>
    </row>
    <row r="297" spans="2:10">
      <c r="B297" s="51"/>
      <c r="C297" s="51"/>
      <c r="D297" s="51"/>
      <c r="F297" s="51"/>
      <c r="H297" s="53"/>
      <c r="I297" s="54">
        <v>100</v>
      </c>
      <c r="J297" s="54">
        <v>50</v>
      </c>
    </row>
    <row r="298" spans="2:10">
      <c r="B298" s="51"/>
      <c r="C298" s="51"/>
      <c r="D298" s="51"/>
      <c r="F298" s="51"/>
      <c r="H298" s="53"/>
      <c r="I298" s="54">
        <v>100</v>
      </c>
      <c r="J298" s="54">
        <v>50</v>
      </c>
    </row>
    <row r="299" spans="2:10">
      <c r="B299" s="51"/>
      <c r="C299" s="51"/>
      <c r="D299" s="51"/>
      <c r="F299" s="51"/>
      <c r="H299" s="53"/>
      <c r="I299" s="54">
        <v>100</v>
      </c>
      <c r="J299" s="54">
        <v>50</v>
      </c>
    </row>
    <row r="300" spans="2:10">
      <c r="B300" s="51"/>
      <c r="C300" s="51"/>
      <c r="D300" s="51"/>
      <c r="F300" s="51"/>
      <c r="H300" s="53"/>
      <c r="I300" s="54">
        <v>100</v>
      </c>
      <c r="J300" s="54">
        <v>50</v>
      </c>
    </row>
    <row r="301" spans="2:10">
      <c r="B301" s="51"/>
      <c r="C301" s="51"/>
      <c r="D301" s="51"/>
      <c r="F301" s="51"/>
      <c r="H301" s="53"/>
      <c r="I301" s="54">
        <v>100</v>
      </c>
      <c r="J301" s="54">
        <v>50</v>
      </c>
    </row>
    <row r="302" spans="2:10">
      <c r="B302" s="51"/>
      <c r="C302" s="51"/>
      <c r="D302" s="51"/>
      <c r="F302" s="51"/>
      <c r="H302" s="53"/>
      <c r="I302" s="54">
        <v>100</v>
      </c>
      <c r="J302" s="54">
        <v>50</v>
      </c>
    </row>
    <row r="303" spans="2:10">
      <c r="B303" s="51"/>
      <c r="C303" s="51"/>
      <c r="D303" s="51"/>
      <c r="F303" s="51"/>
      <c r="H303" s="53"/>
      <c r="I303" s="54">
        <v>100</v>
      </c>
      <c r="J303" s="54">
        <v>50</v>
      </c>
    </row>
    <row r="304" spans="2:10">
      <c r="B304" s="51"/>
      <c r="C304" s="51"/>
      <c r="D304" s="51"/>
      <c r="F304" s="51"/>
      <c r="H304" s="53"/>
      <c r="I304" s="54">
        <v>100</v>
      </c>
      <c r="J304" s="54">
        <v>50</v>
      </c>
    </row>
    <row r="305" spans="2:10">
      <c r="B305" s="51"/>
      <c r="C305" s="51"/>
      <c r="D305" s="51"/>
      <c r="F305" s="51"/>
      <c r="H305" s="53"/>
      <c r="I305" s="54">
        <v>100</v>
      </c>
      <c r="J305" s="54">
        <v>50</v>
      </c>
    </row>
    <row r="306" spans="2:10">
      <c r="B306" s="51"/>
      <c r="C306" s="51"/>
      <c r="D306" s="51"/>
      <c r="F306" s="51"/>
      <c r="H306" s="53"/>
      <c r="I306" s="54">
        <v>100</v>
      </c>
      <c r="J306" s="54">
        <v>50</v>
      </c>
    </row>
    <row r="307" spans="2:10">
      <c r="B307" s="51"/>
      <c r="C307" s="51"/>
      <c r="D307" s="51"/>
      <c r="F307" s="51"/>
      <c r="H307" s="53"/>
      <c r="I307" s="54">
        <v>100</v>
      </c>
      <c r="J307" s="54">
        <v>50</v>
      </c>
    </row>
    <row r="308" spans="2:10">
      <c r="B308" s="51"/>
      <c r="C308" s="51"/>
      <c r="D308" s="51"/>
      <c r="F308" s="51"/>
      <c r="H308" s="53"/>
      <c r="I308" s="54">
        <v>100</v>
      </c>
      <c r="J308" s="54">
        <v>50</v>
      </c>
    </row>
    <row r="309" spans="2:10">
      <c r="B309" s="51"/>
      <c r="C309" s="51"/>
      <c r="D309" s="51"/>
      <c r="F309" s="51"/>
      <c r="H309" s="53"/>
      <c r="I309" s="54">
        <v>100</v>
      </c>
      <c r="J309" s="54">
        <v>50</v>
      </c>
    </row>
    <row r="310" spans="2:10">
      <c r="B310" s="51"/>
      <c r="C310" s="51"/>
      <c r="D310" s="51"/>
      <c r="F310" s="51"/>
      <c r="H310" s="53"/>
      <c r="I310" s="54">
        <v>100</v>
      </c>
      <c r="J310" s="54">
        <v>50</v>
      </c>
    </row>
    <row r="311" spans="2:10">
      <c r="B311" s="51"/>
      <c r="C311" s="51"/>
      <c r="D311" s="51"/>
      <c r="F311" s="51"/>
      <c r="H311" s="53"/>
      <c r="I311" s="54">
        <v>100</v>
      </c>
      <c r="J311" s="54">
        <v>50</v>
      </c>
    </row>
    <row r="312" spans="2:10">
      <c r="B312" s="51"/>
      <c r="C312" s="51"/>
      <c r="D312" s="51"/>
      <c r="F312" s="51"/>
      <c r="H312" s="53"/>
      <c r="I312" s="54">
        <v>100</v>
      </c>
      <c r="J312" s="54">
        <v>50</v>
      </c>
    </row>
    <row r="313" spans="2:10">
      <c r="B313" s="51"/>
      <c r="C313" s="51"/>
      <c r="D313" s="51"/>
      <c r="F313" s="51"/>
      <c r="H313" s="53"/>
      <c r="I313" s="54">
        <v>100</v>
      </c>
      <c r="J313" s="54">
        <v>50</v>
      </c>
    </row>
    <row r="314" spans="2:10">
      <c r="B314" s="51"/>
      <c r="C314" s="51"/>
      <c r="D314" s="51"/>
      <c r="F314" s="51"/>
      <c r="H314" s="53"/>
      <c r="I314" s="54">
        <v>100</v>
      </c>
      <c r="J314" s="54">
        <v>50</v>
      </c>
    </row>
    <row r="315" spans="2:10">
      <c r="B315" s="51"/>
      <c r="C315" s="51"/>
      <c r="D315" s="51"/>
      <c r="F315" s="51"/>
      <c r="H315" s="53"/>
      <c r="I315" s="54">
        <v>100</v>
      </c>
      <c r="J315" s="54">
        <v>50</v>
      </c>
    </row>
    <row r="316" spans="2:10">
      <c r="B316" s="51"/>
      <c r="C316" s="51"/>
      <c r="D316" s="51"/>
      <c r="F316" s="51"/>
      <c r="H316" s="53"/>
      <c r="I316" s="54">
        <v>100</v>
      </c>
      <c r="J316" s="54">
        <v>50</v>
      </c>
    </row>
    <row r="317" spans="2:10">
      <c r="B317" s="51"/>
      <c r="C317" s="51"/>
      <c r="D317" s="51"/>
      <c r="F317" s="51"/>
      <c r="H317" s="53"/>
      <c r="I317" s="54">
        <v>100</v>
      </c>
      <c r="J317" s="54">
        <v>50</v>
      </c>
    </row>
    <row r="318" spans="2:10">
      <c r="B318" s="51"/>
      <c r="C318" s="51"/>
      <c r="D318" s="51"/>
      <c r="F318" s="51"/>
      <c r="H318" s="53"/>
      <c r="I318" s="54">
        <v>100</v>
      </c>
      <c r="J318" s="54">
        <v>50</v>
      </c>
    </row>
    <row r="319" spans="2:10">
      <c r="B319" s="51"/>
      <c r="C319" s="51"/>
      <c r="D319" s="51"/>
      <c r="F319" s="51"/>
      <c r="H319" s="53"/>
      <c r="I319" s="54">
        <v>100</v>
      </c>
      <c r="J319" s="54">
        <v>50</v>
      </c>
    </row>
    <row r="320" spans="2:10">
      <c r="B320" s="51"/>
      <c r="C320" s="51"/>
      <c r="D320" s="51"/>
      <c r="F320" s="51"/>
      <c r="H320" s="53"/>
      <c r="I320" s="54">
        <v>100</v>
      </c>
      <c r="J320" s="54">
        <v>50</v>
      </c>
    </row>
    <row r="321" spans="2:10">
      <c r="B321" s="51"/>
      <c r="C321" s="51"/>
      <c r="D321" s="51"/>
      <c r="F321" s="51"/>
      <c r="H321" s="53"/>
      <c r="I321" s="54">
        <v>100</v>
      </c>
      <c r="J321" s="54">
        <v>50</v>
      </c>
    </row>
    <row r="322" spans="2:10">
      <c r="B322" s="51"/>
      <c r="C322" s="51"/>
      <c r="D322" s="51"/>
      <c r="F322" s="51"/>
      <c r="H322" s="53"/>
      <c r="I322" s="54">
        <v>100</v>
      </c>
      <c r="J322" s="54">
        <v>50</v>
      </c>
    </row>
    <row r="323" spans="2:10">
      <c r="B323" s="51"/>
      <c r="C323" s="51"/>
      <c r="D323" s="51"/>
      <c r="F323" s="51"/>
      <c r="H323" s="53"/>
      <c r="I323" s="54">
        <v>100</v>
      </c>
      <c r="J323" s="54">
        <v>50</v>
      </c>
    </row>
    <row r="324" spans="2:10">
      <c r="B324" s="51"/>
      <c r="C324" s="51"/>
      <c r="D324" s="51"/>
      <c r="F324" s="51"/>
    </row>
    <row r="325" spans="2:10">
      <c r="B325" s="51"/>
      <c r="C325" s="51"/>
      <c r="D325" s="51"/>
      <c r="F325" s="51"/>
    </row>
    <row r="326" spans="2:10">
      <c r="B326" s="51"/>
      <c r="C326" s="51"/>
      <c r="D326" s="51"/>
      <c r="F326" s="51"/>
    </row>
    <row r="327" spans="2:10">
      <c r="B327" s="51"/>
      <c r="C327" s="51"/>
      <c r="D327" s="51"/>
      <c r="F327" s="51"/>
    </row>
    <row r="328" spans="2:10">
      <c r="B328" s="51"/>
      <c r="C328" s="51"/>
      <c r="D328" s="51"/>
      <c r="F328" s="51"/>
    </row>
    <row r="329" spans="2:10">
      <c r="B329" s="51"/>
      <c r="C329" s="51"/>
      <c r="D329" s="51"/>
      <c r="F329" s="51"/>
    </row>
    <row r="330" spans="2:10">
      <c r="B330" s="51"/>
      <c r="C330" s="51"/>
      <c r="D330" s="51"/>
      <c r="F330" s="51"/>
    </row>
    <row r="331" spans="2:10">
      <c r="B331" s="51"/>
      <c r="C331" s="51"/>
      <c r="D331" s="51"/>
      <c r="F331" s="51"/>
    </row>
    <row r="332" spans="2:10">
      <c r="B332" s="51"/>
      <c r="C332" s="51"/>
      <c r="D332" s="51"/>
      <c r="F332" s="51"/>
    </row>
    <row r="333" spans="2:10">
      <c r="B333" s="51"/>
      <c r="C333" s="51"/>
      <c r="D333" s="51"/>
      <c r="F333" s="51"/>
    </row>
    <row r="334" spans="2:10">
      <c r="B334" s="51"/>
      <c r="C334" s="51"/>
      <c r="D334" s="51"/>
      <c r="F334" s="51"/>
    </row>
    <row r="335" spans="2:10">
      <c r="B335" s="51"/>
      <c r="C335" s="51"/>
      <c r="D335" s="51"/>
      <c r="F335" s="51"/>
    </row>
    <row r="336" spans="2:10">
      <c r="B336" s="51"/>
      <c r="C336" s="51"/>
      <c r="D336" s="51"/>
      <c r="F336" s="51"/>
    </row>
    <row r="337" spans="2:6">
      <c r="B337" s="51"/>
      <c r="C337" s="51"/>
      <c r="D337" s="51"/>
      <c r="F337" s="51"/>
    </row>
    <row r="338" spans="2:6">
      <c r="B338" s="51"/>
      <c r="C338" s="51"/>
      <c r="D338" s="51"/>
      <c r="F338" s="51"/>
    </row>
    <row r="339" spans="2:6">
      <c r="B339" s="51"/>
      <c r="C339" s="51"/>
      <c r="D339" s="51"/>
      <c r="F339" s="51"/>
    </row>
    <row r="340" spans="2:6">
      <c r="B340" s="51"/>
      <c r="C340" s="51"/>
      <c r="D340" s="51"/>
      <c r="F340" s="51"/>
    </row>
    <row r="341" spans="2:6">
      <c r="B341" s="51"/>
      <c r="C341" s="51"/>
      <c r="D341" s="51"/>
      <c r="F341" s="51"/>
    </row>
    <row r="342" spans="2:6">
      <c r="B342" s="51"/>
      <c r="C342" s="51"/>
      <c r="D342" s="51"/>
      <c r="F342" s="51"/>
    </row>
    <row r="343" spans="2:6">
      <c r="B343" s="51"/>
      <c r="C343" s="51"/>
      <c r="D343" s="51"/>
      <c r="F343" s="51"/>
    </row>
    <row r="344" spans="2:6">
      <c r="B344" s="51"/>
      <c r="C344" s="51"/>
      <c r="D344" s="51"/>
      <c r="F344" s="51"/>
    </row>
    <row r="345" spans="2:6">
      <c r="B345" s="51"/>
      <c r="C345" s="51"/>
      <c r="D345" s="51"/>
      <c r="F345" s="51"/>
    </row>
    <row r="346" spans="2:6">
      <c r="B346" s="51"/>
      <c r="C346" s="51"/>
      <c r="D346" s="51"/>
      <c r="F346" s="51"/>
    </row>
    <row r="347" spans="2:6">
      <c r="B347" s="51"/>
      <c r="C347" s="51"/>
      <c r="D347" s="51"/>
      <c r="F347" s="51"/>
    </row>
    <row r="348" spans="2:6">
      <c r="B348" s="51"/>
      <c r="C348" s="51"/>
      <c r="D348" s="51"/>
      <c r="F348" s="51"/>
    </row>
    <row r="349" spans="2:6">
      <c r="B349" s="51"/>
      <c r="C349" s="51"/>
      <c r="D349" s="51"/>
      <c r="F349" s="51"/>
    </row>
    <row r="350" spans="2:6">
      <c r="B350" s="51"/>
      <c r="C350" s="51"/>
      <c r="D350" s="51"/>
      <c r="F350" s="51"/>
    </row>
    <row r="351" spans="2:6">
      <c r="B351" s="51"/>
      <c r="C351" s="51"/>
      <c r="D351" s="51"/>
      <c r="F351" s="51"/>
    </row>
    <row r="352" spans="2:6">
      <c r="B352" s="51"/>
      <c r="C352" s="51"/>
      <c r="D352" s="51"/>
      <c r="F352" s="51"/>
    </row>
    <row r="353" spans="2:6">
      <c r="B353" s="51"/>
      <c r="C353" s="51"/>
      <c r="D353" s="51"/>
      <c r="F353" s="51"/>
    </row>
    <row r="354" spans="2:6">
      <c r="B354" s="51"/>
      <c r="C354" s="51"/>
      <c r="D354" s="51"/>
      <c r="F354" s="51"/>
    </row>
    <row r="355" spans="2:6">
      <c r="B355" s="51"/>
      <c r="C355" s="51"/>
      <c r="D355" s="51"/>
      <c r="F355" s="51"/>
    </row>
    <row r="356" spans="2:6">
      <c r="B356" s="51"/>
      <c r="C356" s="51"/>
      <c r="D356" s="51"/>
      <c r="F356" s="51"/>
    </row>
    <row r="357" spans="2:6">
      <c r="B357" s="51"/>
      <c r="C357" s="51"/>
      <c r="D357" s="51"/>
      <c r="F357" s="51"/>
    </row>
    <row r="358" spans="2:6">
      <c r="B358" s="51"/>
      <c r="C358" s="51"/>
      <c r="D358" s="51"/>
      <c r="F358" s="51"/>
    </row>
    <row r="359" spans="2:6">
      <c r="B359" s="51"/>
      <c r="C359" s="51"/>
      <c r="D359" s="51"/>
      <c r="F359" s="51"/>
    </row>
    <row r="360" spans="2:6">
      <c r="B360" s="51"/>
      <c r="C360" s="51"/>
      <c r="D360" s="51"/>
      <c r="F360" s="51"/>
    </row>
    <row r="361" spans="2:6">
      <c r="B361" s="51"/>
      <c r="C361" s="51"/>
      <c r="D361" s="51"/>
      <c r="F361" s="51"/>
    </row>
    <row r="362" spans="2:6">
      <c r="B362" s="51"/>
      <c r="C362" s="51"/>
      <c r="D362" s="51"/>
      <c r="F362" s="51"/>
    </row>
    <row r="363" spans="2:6">
      <c r="B363" s="51"/>
      <c r="C363" s="51"/>
      <c r="D363" s="51"/>
      <c r="F363" s="51"/>
    </row>
    <row r="364" spans="2:6">
      <c r="B364" s="51"/>
      <c r="C364" s="51"/>
      <c r="D364" s="51"/>
      <c r="F364" s="51"/>
    </row>
    <row r="365" spans="2:6">
      <c r="B365" s="51"/>
      <c r="C365" s="51"/>
      <c r="D365" s="51"/>
      <c r="F365" s="51"/>
    </row>
    <row r="366" spans="2:6">
      <c r="B366" s="51"/>
      <c r="C366" s="51"/>
      <c r="D366" s="51"/>
      <c r="F366" s="51"/>
    </row>
    <row r="367" spans="2:6">
      <c r="B367" s="51"/>
      <c r="C367" s="51"/>
      <c r="D367" s="51"/>
      <c r="F367" s="51"/>
    </row>
    <row r="368" spans="2:6">
      <c r="B368" s="51"/>
      <c r="C368" s="51"/>
      <c r="D368" s="51"/>
      <c r="F368" s="51"/>
    </row>
    <row r="369" spans="2:6">
      <c r="B369" s="51"/>
      <c r="C369" s="51"/>
      <c r="D369" s="51"/>
      <c r="F369" s="51"/>
    </row>
    <row r="370" spans="2:6">
      <c r="B370" s="51"/>
      <c r="C370" s="51"/>
      <c r="D370" s="51"/>
      <c r="F370" s="51"/>
    </row>
    <row r="371" spans="2:6">
      <c r="B371" s="51"/>
      <c r="C371" s="51"/>
      <c r="D371" s="51"/>
      <c r="F371" s="51"/>
    </row>
    <row r="372" spans="2:6">
      <c r="B372" s="51"/>
      <c r="C372" s="51"/>
      <c r="D372" s="51"/>
      <c r="F372" s="51"/>
    </row>
    <row r="373" spans="2:6">
      <c r="B373" s="51"/>
      <c r="C373" s="51"/>
      <c r="D373" s="51"/>
      <c r="F373" s="51"/>
    </row>
    <row r="374" spans="2:6">
      <c r="B374" s="51"/>
      <c r="C374" s="51"/>
      <c r="D374" s="51"/>
      <c r="F374" s="51"/>
    </row>
    <row r="375" spans="2:6">
      <c r="B375" s="51"/>
      <c r="C375" s="51"/>
      <c r="D375" s="51"/>
      <c r="F375" s="51"/>
    </row>
    <row r="376" spans="2:6">
      <c r="B376" s="51"/>
      <c r="C376" s="51"/>
      <c r="D376" s="51"/>
      <c r="F376" s="51"/>
    </row>
    <row r="377" spans="2:6">
      <c r="B377" s="51"/>
      <c r="C377" s="51"/>
      <c r="D377" s="51"/>
      <c r="F377" s="51"/>
    </row>
    <row r="378" spans="2:6">
      <c r="B378" s="51"/>
      <c r="C378" s="51"/>
      <c r="D378" s="51"/>
      <c r="F378" s="51"/>
    </row>
    <row r="379" spans="2:6">
      <c r="B379" s="51"/>
      <c r="C379" s="51"/>
      <c r="D379" s="51"/>
      <c r="F379" s="51"/>
    </row>
    <row r="380" spans="2:6">
      <c r="B380" s="51"/>
      <c r="C380" s="51"/>
      <c r="D380" s="51"/>
      <c r="F380" s="51"/>
    </row>
    <row r="381" spans="2:6">
      <c r="B381" s="51"/>
      <c r="C381" s="51"/>
      <c r="D381" s="51"/>
      <c r="F381" s="51"/>
    </row>
    <row r="382" spans="2:6">
      <c r="B382" s="51"/>
      <c r="C382" s="51"/>
      <c r="D382" s="51"/>
      <c r="F382" s="51"/>
    </row>
    <row r="383" spans="2:6">
      <c r="B383" s="51"/>
      <c r="C383" s="51"/>
      <c r="D383" s="51"/>
      <c r="F383" s="51"/>
    </row>
    <row r="384" spans="2:6">
      <c r="B384" s="51"/>
      <c r="C384" s="51"/>
      <c r="D384" s="51"/>
      <c r="F384" s="51"/>
    </row>
    <row r="385" spans="2:6">
      <c r="B385" s="51"/>
      <c r="C385" s="51"/>
      <c r="D385" s="51"/>
      <c r="F385" s="51"/>
    </row>
    <row r="386" spans="2:6">
      <c r="B386" s="51"/>
      <c r="C386" s="51"/>
      <c r="D386" s="51"/>
      <c r="F386" s="51"/>
    </row>
    <row r="387" spans="2:6">
      <c r="B387" s="51"/>
      <c r="C387" s="51"/>
      <c r="D387" s="51"/>
      <c r="F387" s="51"/>
    </row>
    <row r="388" spans="2:6">
      <c r="B388" s="51"/>
      <c r="C388" s="51"/>
      <c r="D388" s="51"/>
      <c r="F388" s="51"/>
    </row>
    <row r="389" spans="2:6">
      <c r="B389" s="51"/>
      <c r="C389" s="51"/>
      <c r="D389" s="51"/>
      <c r="F389" s="51"/>
    </row>
    <row r="390" spans="2:6">
      <c r="B390" s="51"/>
      <c r="C390" s="51"/>
      <c r="D390" s="51"/>
      <c r="F390" s="51"/>
    </row>
    <row r="391" spans="2:6">
      <c r="B391" s="51"/>
      <c r="C391" s="51"/>
      <c r="D391" s="51"/>
      <c r="F391" s="51"/>
    </row>
    <row r="392" spans="2:6">
      <c r="B392" s="51"/>
      <c r="C392" s="51"/>
      <c r="D392" s="51"/>
      <c r="F392" s="51"/>
    </row>
    <row r="393" spans="2:6">
      <c r="B393" s="51"/>
      <c r="C393" s="51"/>
      <c r="D393" s="51"/>
      <c r="F393" s="51"/>
    </row>
    <row r="394" spans="2:6">
      <c r="B394" s="51"/>
      <c r="C394" s="51"/>
      <c r="D394" s="51"/>
      <c r="F394" s="51"/>
    </row>
    <row r="395" spans="2:6">
      <c r="B395" s="51"/>
      <c r="C395" s="51"/>
      <c r="D395" s="51"/>
      <c r="F395" s="51"/>
    </row>
    <row r="396" spans="2:6">
      <c r="B396" s="51"/>
      <c r="C396" s="51"/>
      <c r="D396" s="51"/>
      <c r="F396" s="51"/>
    </row>
    <row r="397" spans="2:6">
      <c r="B397" s="51"/>
      <c r="C397" s="51"/>
      <c r="D397" s="51"/>
      <c r="F397" s="51"/>
    </row>
    <row r="398" spans="2:6">
      <c r="B398" s="51"/>
      <c r="C398" s="51"/>
      <c r="D398" s="51"/>
      <c r="F398" s="51"/>
    </row>
    <row r="399" spans="2:6">
      <c r="B399" s="51"/>
      <c r="C399" s="51"/>
      <c r="D399" s="51"/>
      <c r="F399" s="51"/>
    </row>
    <row r="400" spans="2:6">
      <c r="B400" s="51"/>
      <c r="C400" s="51"/>
      <c r="D400" s="51"/>
      <c r="F400" s="51"/>
    </row>
    <row r="401" spans="2:6">
      <c r="B401" s="51"/>
      <c r="C401" s="51"/>
      <c r="D401" s="51"/>
      <c r="F401" s="51"/>
    </row>
    <row r="402" spans="2:6">
      <c r="B402" s="51"/>
      <c r="C402" s="51"/>
      <c r="D402" s="51"/>
      <c r="F402" s="51"/>
    </row>
    <row r="403" spans="2:6">
      <c r="B403" s="51"/>
      <c r="C403" s="51"/>
      <c r="D403" s="51"/>
      <c r="F403" s="51"/>
    </row>
    <row r="404" spans="2:6">
      <c r="B404" s="51"/>
      <c r="C404" s="51"/>
      <c r="D404" s="51"/>
      <c r="F404" s="51"/>
    </row>
    <row r="405" spans="2:6">
      <c r="B405" s="51"/>
      <c r="C405" s="51"/>
      <c r="D405" s="51"/>
      <c r="F405" s="51"/>
    </row>
    <row r="406" spans="2:6">
      <c r="B406" s="51"/>
      <c r="C406" s="51"/>
      <c r="D406" s="51"/>
      <c r="F406" s="51"/>
    </row>
    <row r="407" spans="2:6">
      <c r="B407" s="51"/>
      <c r="C407" s="51"/>
      <c r="D407" s="51"/>
      <c r="F407" s="51"/>
    </row>
    <row r="408" spans="2:6">
      <c r="B408" s="51"/>
      <c r="C408" s="51"/>
      <c r="D408" s="51"/>
      <c r="F408" s="51"/>
    </row>
    <row r="409" spans="2:6">
      <c r="B409" s="51"/>
      <c r="C409" s="51"/>
      <c r="D409" s="51"/>
      <c r="F409" s="51"/>
    </row>
    <row r="410" spans="2:6">
      <c r="B410" s="51"/>
      <c r="C410" s="51"/>
      <c r="D410" s="51"/>
      <c r="F410" s="51"/>
    </row>
    <row r="411" spans="2:6">
      <c r="B411" s="51"/>
      <c r="C411" s="51"/>
      <c r="D411" s="51"/>
      <c r="F411" s="51"/>
    </row>
    <row r="412" spans="2:6">
      <c r="B412" s="51"/>
      <c r="C412" s="51"/>
      <c r="D412" s="51"/>
      <c r="F412" s="51"/>
    </row>
    <row r="413" spans="2:6">
      <c r="B413" s="51"/>
      <c r="C413" s="51"/>
      <c r="D413" s="51"/>
      <c r="F413" s="51"/>
    </row>
    <row r="414" spans="2:6">
      <c r="B414" s="51"/>
      <c r="C414" s="51"/>
      <c r="D414" s="51"/>
      <c r="F414" s="51"/>
    </row>
    <row r="415" spans="2:6">
      <c r="B415" s="51"/>
      <c r="C415" s="51"/>
      <c r="D415" s="51"/>
      <c r="F415" s="51"/>
    </row>
    <row r="416" spans="2:6">
      <c r="B416" s="51"/>
      <c r="C416" s="51"/>
      <c r="D416" s="51"/>
      <c r="F416" s="51"/>
    </row>
    <row r="417" spans="2:6">
      <c r="B417" s="51"/>
      <c r="C417" s="51"/>
      <c r="D417" s="51"/>
      <c r="F417" s="51"/>
    </row>
    <row r="418" spans="2:6">
      <c r="B418" s="51"/>
      <c r="C418" s="51"/>
      <c r="D418" s="51"/>
      <c r="F418" s="51"/>
    </row>
    <row r="419" spans="2:6">
      <c r="B419" s="51"/>
      <c r="C419" s="51"/>
      <c r="D419" s="51"/>
      <c r="F419" s="51"/>
    </row>
    <row r="420" spans="2:6">
      <c r="B420" s="51"/>
      <c r="C420" s="51"/>
      <c r="D420" s="51"/>
      <c r="F420" s="51"/>
    </row>
    <row r="421" spans="2:6">
      <c r="B421" s="51"/>
      <c r="C421" s="51"/>
      <c r="D421" s="51"/>
      <c r="F421" s="51"/>
    </row>
    <row r="422" spans="2:6">
      <c r="B422" s="51"/>
      <c r="C422" s="51"/>
      <c r="D422" s="51"/>
      <c r="F422" s="51"/>
    </row>
    <row r="423" spans="2:6">
      <c r="B423" s="51"/>
      <c r="C423" s="51"/>
      <c r="D423" s="51"/>
      <c r="F423" s="51"/>
    </row>
    <row r="424" spans="2:6">
      <c r="B424" s="51"/>
      <c r="C424" s="51"/>
      <c r="D424" s="51"/>
      <c r="F424" s="51"/>
    </row>
    <row r="425" spans="2:6">
      <c r="B425" s="51"/>
      <c r="C425" s="51"/>
      <c r="D425" s="51"/>
      <c r="F425" s="51"/>
    </row>
    <row r="426" spans="2:6">
      <c r="B426" s="51"/>
      <c r="C426" s="51"/>
      <c r="D426" s="51"/>
      <c r="F426" s="51"/>
    </row>
    <row r="427" spans="2:6">
      <c r="B427" s="51"/>
      <c r="C427" s="51"/>
      <c r="D427" s="51"/>
      <c r="F427" s="51"/>
    </row>
    <row r="428" spans="2:6">
      <c r="B428" s="51"/>
      <c r="C428" s="51"/>
      <c r="D428" s="51"/>
      <c r="F428" s="51"/>
    </row>
    <row r="429" spans="2:6">
      <c r="B429" s="51"/>
      <c r="C429" s="51"/>
      <c r="D429" s="51"/>
      <c r="F429" s="51"/>
    </row>
    <row r="430" spans="2:6">
      <c r="B430" s="51"/>
      <c r="C430" s="51"/>
      <c r="D430" s="51"/>
      <c r="F430" s="51"/>
    </row>
    <row r="431" spans="2:6">
      <c r="B431" s="51"/>
      <c r="C431" s="51"/>
      <c r="D431" s="51"/>
      <c r="F431" s="51"/>
    </row>
    <row r="432" spans="2:6">
      <c r="B432" s="51"/>
      <c r="C432" s="51"/>
      <c r="D432" s="51"/>
      <c r="F432" s="51"/>
    </row>
    <row r="433" spans="2:6">
      <c r="B433" s="51"/>
      <c r="C433" s="51"/>
      <c r="D433" s="51"/>
      <c r="F433" s="51"/>
    </row>
    <row r="434" spans="2:6">
      <c r="B434" s="51"/>
      <c r="C434" s="51"/>
      <c r="D434" s="51"/>
      <c r="F434" s="51"/>
    </row>
    <row r="435" spans="2:6">
      <c r="B435" s="51"/>
      <c r="C435" s="51"/>
      <c r="D435" s="51"/>
      <c r="F435" s="51"/>
    </row>
    <row r="436" spans="2:6">
      <c r="B436" s="51"/>
      <c r="C436" s="51"/>
      <c r="D436" s="51"/>
      <c r="F436" s="51"/>
    </row>
    <row r="437" spans="2:6">
      <c r="B437" s="51"/>
      <c r="C437" s="51"/>
      <c r="D437" s="51"/>
      <c r="F437" s="51"/>
    </row>
    <row r="438" spans="2:6">
      <c r="B438" s="51"/>
      <c r="C438" s="51"/>
      <c r="D438" s="51"/>
      <c r="F438" s="51"/>
    </row>
    <row r="439" spans="2:6">
      <c r="B439" s="51"/>
      <c r="C439" s="51"/>
      <c r="D439" s="51"/>
      <c r="F439" s="51"/>
    </row>
    <row r="440" spans="2:6">
      <c r="B440" s="51"/>
      <c r="C440" s="51"/>
      <c r="D440" s="51"/>
      <c r="F440" s="51"/>
    </row>
    <row r="441" spans="2:6">
      <c r="B441" s="51"/>
      <c r="C441" s="51"/>
      <c r="D441" s="51"/>
      <c r="F441" s="51"/>
    </row>
    <row r="442" spans="2:6">
      <c r="B442" s="51"/>
      <c r="C442" s="51"/>
      <c r="D442" s="51"/>
      <c r="F442" s="51"/>
    </row>
    <row r="443" spans="2:6">
      <c r="B443" s="51"/>
      <c r="C443" s="51"/>
      <c r="D443" s="51"/>
      <c r="F443" s="51"/>
    </row>
    <row r="444" spans="2:6">
      <c r="B444" s="51"/>
      <c r="C444" s="51"/>
      <c r="D444" s="51"/>
      <c r="F444" s="51"/>
    </row>
    <row r="445" spans="2:6">
      <c r="B445" s="51"/>
      <c r="C445" s="51"/>
      <c r="D445" s="51"/>
      <c r="F445" s="51"/>
    </row>
    <row r="446" spans="2:6">
      <c r="B446" s="51"/>
      <c r="C446" s="51"/>
      <c r="D446" s="51"/>
      <c r="F446" s="51"/>
    </row>
    <row r="447" spans="2:6">
      <c r="B447" s="51"/>
      <c r="C447" s="51"/>
      <c r="D447" s="51"/>
      <c r="F447" s="51"/>
    </row>
    <row r="448" spans="2:6">
      <c r="B448" s="51"/>
      <c r="C448" s="51"/>
      <c r="D448" s="51"/>
      <c r="F448" s="51"/>
    </row>
    <row r="449" spans="2:6">
      <c r="B449" s="51"/>
      <c r="C449" s="51"/>
      <c r="D449" s="51"/>
      <c r="F449" s="51"/>
    </row>
    <row r="450" spans="2:6">
      <c r="B450" s="51"/>
      <c r="C450" s="51"/>
      <c r="D450" s="51"/>
      <c r="F450" s="51"/>
    </row>
    <row r="451" spans="2:6">
      <c r="B451" s="51"/>
      <c r="C451" s="51"/>
      <c r="D451" s="51"/>
      <c r="F451" s="51"/>
    </row>
    <row r="452" spans="2:6">
      <c r="B452" s="51"/>
      <c r="C452" s="51"/>
      <c r="D452" s="51"/>
      <c r="F452" s="51"/>
    </row>
    <row r="453" spans="2:6">
      <c r="B453" s="51"/>
      <c r="C453" s="51"/>
      <c r="D453" s="51"/>
      <c r="F453" s="51"/>
    </row>
    <row r="454" spans="2:6">
      <c r="B454" s="51"/>
      <c r="C454" s="51"/>
      <c r="D454" s="51"/>
      <c r="F454" s="51"/>
    </row>
    <row r="455" spans="2:6">
      <c r="B455" s="51"/>
      <c r="C455" s="51"/>
      <c r="D455" s="51"/>
      <c r="F455" s="51"/>
    </row>
    <row r="456" spans="2:6">
      <c r="B456" s="51"/>
      <c r="C456" s="51"/>
      <c r="D456" s="51"/>
      <c r="F456" s="51"/>
    </row>
    <row r="457" spans="2:6">
      <c r="B457" s="51"/>
      <c r="C457" s="51"/>
      <c r="D457" s="51"/>
      <c r="F457" s="51"/>
    </row>
    <row r="458" spans="2:6">
      <c r="B458" s="51"/>
      <c r="C458" s="51"/>
      <c r="D458" s="51"/>
      <c r="F458" s="51"/>
    </row>
    <row r="459" spans="2:6">
      <c r="B459" s="51"/>
      <c r="C459" s="51"/>
      <c r="D459" s="51"/>
      <c r="F459" s="51"/>
    </row>
    <row r="460" spans="2:6">
      <c r="B460" s="51"/>
      <c r="C460" s="51"/>
      <c r="D460" s="51"/>
      <c r="F460" s="51"/>
    </row>
    <row r="461" spans="2:6">
      <c r="B461" s="51"/>
      <c r="C461" s="51"/>
      <c r="D461" s="51"/>
      <c r="F461" s="51"/>
    </row>
    <row r="462" spans="2:6">
      <c r="B462" s="51"/>
      <c r="C462" s="51"/>
      <c r="D462" s="51"/>
      <c r="F462" s="51"/>
    </row>
    <row r="463" spans="2:6">
      <c r="B463" s="51"/>
      <c r="C463" s="51"/>
      <c r="D463" s="51"/>
      <c r="F463" s="51"/>
    </row>
    <row r="464" spans="2:6">
      <c r="B464" s="51"/>
      <c r="C464" s="51"/>
      <c r="D464" s="51"/>
      <c r="F464" s="51"/>
    </row>
    <row r="465" spans="2:6">
      <c r="B465" s="51"/>
      <c r="C465" s="51"/>
      <c r="D465" s="51"/>
      <c r="F465" s="51"/>
    </row>
    <row r="466" spans="2:6">
      <c r="B466" s="51"/>
      <c r="C466" s="51"/>
      <c r="D466" s="51"/>
      <c r="F466" s="51"/>
    </row>
    <row r="467" spans="2:6">
      <c r="B467" s="51"/>
      <c r="C467" s="51"/>
      <c r="D467" s="51"/>
      <c r="F467" s="51"/>
    </row>
    <row r="468" spans="2:6">
      <c r="B468" s="51"/>
      <c r="C468" s="51"/>
      <c r="D468" s="51"/>
      <c r="F468" s="51"/>
    </row>
    <row r="469" spans="2:6">
      <c r="B469" s="51"/>
      <c r="C469" s="51"/>
      <c r="D469" s="51"/>
      <c r="F469" s="51"/>
    </row>
    <row r="470" spans="2:6">
      <c r="B470" s="51"/>
      <c r="C470" s="51"/>
      <c r="D470" s="51"/>
      <c r="F470" s="51"/>
    </row>
    <row r="471" spans="2:6">
      <c r="B471" s="51"/>
      <c r="C471" s="51"/>
      <c r="D471" s="51"/>
      <c r="F471" s="51"/>
    </row>
    <row r="472" spans="2:6">
      <c r="B472" s="51"/>
      <c r="C472" s="51"/>
      <c r="D472" s="51"/>
      <c r="F472" s="51"/>
    </row>
    <row r="473" spans="2:6">
      <c r="B473" s="51"/>
      <c r="C473" s="51"/>
      <c r="D473" s="51"/>
      <c r="F473" s="51"/>
    </row>
    <row r="474" spans="2:6">
      <c r="B474" s="51"/>
      <c r="C474" s="51"/>
      <c r="D474" s="51"/>
      <c r="F474" s="51"/>
    </row>
    <row r="475" spans="2:6">
      <c r="B475" s="51"/>
      <c r="C475" s="51"/>
      <c r="D475" s="51"/>
      <c r="F475" s="51"/>
    </row>
    <row r="476" spans="2:6">
      <c r="B476" s="51"/>
      <c r="C476" s="51"/>
      <c r="D476" s="51"/>
      <c r="F476" s="51"/>
    </row>
    <row r="477" spans="2:6">
      <c r="B477" s="51"/>
      <c r="C477" s="51"/>
      <c r="D477" s="51"/>
      <c r="F477" s="51"/>
    </row>
    <row r="478" spans="2:6">
      <c r="B478" s="51"/>
      <c r="C478" s="51"/>
      <c r="D478" s="51"/>
      <c r="F478" s="51"/>
    </row>
    <row r="479" spans="2:6">
      <c r="B479" s="51"/>
      <c r="C479" s="51"/>
      <c r="D479" s="51"/>
      <c r="F479" s="51"/>
    </row>
    <row r="480" spans="2:6">
      <c r="B480" s="51"/>
      <c r="C480" s="51"/>
      <c r="D480" s="51"/>
      <c r="F480" s="51"/>
    </row>
    <row r="481" spans="2:6">
      <c r="B481" s="51"/>
      <c r="C481" s="51"/>
      <c r="D481" s="51"/>
      <c r="F481" s="51"/>
    </row>
    <row r="482" spans="2:6">
      <c r="B482" s="51"/>
      <c r="C482" s="51"/>
      <c r="D482" s="51"/>
      <c r="F482" s="51"/>
    </row>
    <row r="483" spans="2:6">
      <c r="B483" s="51"/>
      <c r="C483" s="51"/>
      <c r="D483" s="51"/>
      <c r="F483" s="51"/>
    </row>
    <row r="484" spans="2:6">
      <c r="B484" s="51"/>
      <c r="C484" s="51"/>
      <c r="D484" s="51"/>
      <c r="F484" s="51"/>
    </row>
    <row r="485" spans="2:6">
      <c r="B485" s="51"/>
      <c r="C485" s="51"/>
      <c r="D485" s="51"/>
      <c r="F485" s="51"/>
    </row>
    <row r="486" spans="2:6">
      <c r="B486" s="51"/>
      <c r="C486" s="51"/>
      <c r="D486" s="51"/>
      <c r="F486" s="51"/>
    </row>
    <row r="487" spans="2:6">
      <c r="B487" s="51"/>
      <c r="C487" s="51"/>
      <c r="D487" s="51"/>
      <c r="F487" s="51"/>
    </row>
    <row r="488" spans="2:6">
      <c r="B488" s="51"/>
      <c r="C488" s="51"/>
      <c r="D488" s="51"/>
      <c r="F488" s="51"/>
    </row>
    <row r="489" spans="2:6">
      <c r="B489" s="51"/>
      <c r="C489" s="51"/>
      <c r="D489" s="51"/>
      <c r="F489" s="51"/>
    </row>
    <row r="490" spans="2:6">
      <c r="B490" s="51"/>
      <c r="C490" s="51"/>
      <c r="D490" s="51"/>
      <c r="F490" s="51"/>
    </row>
    <row r="491" spans="2:6">
      <c r="B491" s="51"/>
      <c r="C491" s="51"/>
      <c r="D491" s="51"/>
      <c r="F491" s="51"/>
    </row>
    <row r="492" spans="2:6">
      <c r="B492" s="51"/>
      <c r="C492" s="51"/>
      <c r="D492" s="51"/>
      <c r="F492" s="51"/>
    </row>
    <row r="493" spans="2:6">
      <c r="B493" s="51"/>
      <c r="C493" s="51"/>
      <c r="D493" s="51"/>
      <c r="F493" s="51"/>
    </row>
    <row r="494" spans="2:6">
      <c r="B494" s="51"/>
      <c r="C494" s="51"/>
      <c r="D494" s="51"/>
      <c r="F494" s="51"/>
    </row>
    <row r="495" spans="2:6">
      <c r="B495" s="51"/>
      <c r="C495" s="51"/>
      <c r="D495" s="51"/>
      <c r="F495" s="51"/>
    </row>
    <row r="496" spans="2:6">
      <c r="B496" s="51"/>
      <c r="C496" s="51"/>
      <c r="D496" s="51"/>
      <c r="F496" s="51"/>
    </row>
    <row r="497" spans="2:6">
      <c r="B497" s="51"/>
      <c r="C497" s="51"/>
      <c r="D497" s="51"/>
      <c r="F497" s="51"/>
    </row>
    <row r="498" spans="2:6">
      <c r="B498" s="51"/>
      <c r="C498" s="51"/>
      <c r="D498" s="51"/>
      <c r="F498" s="51"/>
    </row>
    <row r="499" spans="2:6">
      <c r="B499" s="51"/>
      <c r="C499" s="51"/>
      <c r="D499" s="51"/>
      <c r="F499" s="51"/>
    </row>
    <row r="500" spans="2:6">
      <c r="B500" s="51"/>
      <c r="C500" s="51"/>
      <c r="D500" s="51"/>
      <c r="F500" s="51"/>
    </row>
    <row r="501" spans="2:6">
      <c r="B501" s="51"/>
      <c r="C501" s="51"/>
      <c r="D501" s="51"/>
      <c r="F501" s="51"/>
    </row>
    <row r="502" spans="2:6">
      <c r="B502" s="51"/>
      <c r="C502" s="51"/>
      <c r="D502" s="51"/>
      <c r="F502" s="51"/>
    </row>
    <row r="503" spans="2:6">
      <c r="B503" s="51"/>
      <c r="C503" s="51"/>
      <c r="D503" s="51"/>
      <c r="F503" s="51"/>
    </row>
    <row r="504" spans="2:6">
      <c r="B504" s="51"/>
      <c r="C504" s="51"/>
      <c r="D504" s="51"/>
      <c r="F504" s="51"/>
    </row>
    <row r="505" spans="2:6">
      <c r="B505" s="51"/>
      <c r="C505" s="51"/>
      <c r="D505" s="51"/>
      <c r="F505" s="51"/>
    </row>
    <row r="506" spans="2:6">
      <c r="B506" s="51"/>
      <c r="C506" s="51"/>
      <c r="D506" s="51"/>
      <c r="F506" s="51"/>
    </row>
    <row r="507" spans="2:6">
      <c r="B507" s="51"/>
      <c r="C507" s="51"/>
      <c r="D507" s="51"/>
      <c r="F507" s="51"/>
    </row>
    <row r="508" spans="2:6">
      <c r="B508" s="51"/>
      <c r="C508" s="51"/>
      <c r="D508" s="51"/>
      <c r="F508" s="51"/>
    </row>
    <row r="509" spans="2:6">
      <c r="B509" s="51"/>
      <c r="C509" s="51"/>
      <c r="D509" s="51"/>
      <c r="F509" s="51"/>
    </row>
    <row r="510" spans="2:6">
      <c r="B510" s="51"/>
      <c r="C510" s="51"/>
      <c r="D510" s="51"/>
      <c r="F510" s="51"/>
    </row>
    <row r="511" spans="2:6">
      <c r="B511" s="51"/>
      <c r="C511" s="51"/>
      <c r="D511" s="51"/>
      <c r="F511" s="51"/>
    </row>
    <row r="512" spans="2:6">
      <c r="B512" s="51"/>
      <c r="C512" s="51"/>
      <c r="D512" s="51"/>
      <c r="F512" s="51"/>
    </row>
    <row r="513" spans="2:6">
      <c r="B513" s="51"/>
      <c r="C513" s="51"/>
      <c r="D513" s="51"/>
      <c r="F513" s="51"/>
    </row>
    <row r="514" spans="2:6">
      <c r="B514" s="51"/>
      <c r="C514" s="51"/>
      <c r="D514" s="51"/>
      <c r="F514" s="51"/>
    </row>
    <row r="515" spans="2:6">
      <c r="B515" s="51"/>
      <c r="C515" s="51"/>
      <c r="D515" s="51"/>
      <c r="F515" s="51"/>
    </row>
    <row r="516" spans="2:6">
      <c r="B516" s="51"/>
      <c r="C516" s="51"/>
      <c r="D516" s="51"/>
      <c r="F516" s="51"/>
    </row>
    <row r="517" spans="2:6">
      <c r="B517" s="51"/>
      <c r="C517" s="51"/>
      <c r="D517" s="51"/>
      <c r="F517" s="51"/>
    </row>
    <row r="518" spans="2:6">
      <c r="B518" s="51"/>
      <c r="C518" s="51"/>
      <c r="D518" s="51"/>
      <c r="F518" s="51"/>
    </row>
    <row r="519" spans="2:6">
      <c r="B519" s="51"/>
      <c r="C519" s="51"/>
      <c r="D519" s="51"/>
      <c r="F519" s="51"/>
    </row>
    <row r="520" spans="2:6">
      <c r="B520" s="51"/>
      <c r="C520" s="51"/>
      <c r="D520" s="51"/>
      <c r="F520" s="51"/>
    </row>
    <row r="521" spans="2:6">
      <c r="B521" s="51"/>
      <c r="C521" s="51"/>
      <c r="D521" s="51"/>
      <c r="F521" s="51"/>
    </row>
    <row r="522" spans="2:6">
      <c r="B522" s="51"/>
      <c r="C522" s="51"/>
      <c r="D522" s="51"/>
      <c r="F522" s="51"/>
    </row>
    <row r="523" spans="2:6">
      <c r="B523" s="51"/>
      <c r="C523" s="51"/>
      <c r="D523" s="51"/>
      <c r="F523" s="51"/>
    </row>
    <row r="524" spans="2:6">
      <c r="B524" s="51"/>
      <c r="C524" s="51"/>
      <c r="D524" s="51"/>
      <c r="F524" s="51"/>
    </row>
    <row r="525" spans="2:6">
      <c r="B525" s="51"/>
      <c r="C525" s="51"/>
      <c r="D525" s="51"/>
      <c r="F525" s="51"/>
    </row>
    <row r="526" spans="2:6">
      <c r="B526" s="51"/>
      <c r="C526" s="51"/>
      <c r="D526" s="51"/>
      <c r="F526" s="51"/>
    </row>
    <row r="527" spans="2:6">
      <c r="B527" s="51"/>
      <c r="C527" s="51"/>
      <c r="D527" s="51"/>
      <c r="F527" s="51"/>
    </row>
    <row r="528" spans="2:6">
      <c r="B528" s="51"/>
      <c r="C528" s="51"/>
      <c r="D528" s="51"/>
      <c r="F528" s="51"/>
    </row>
    <row r="529" spans="2:6">
      <c r="B529" s="51"/>
      <c r="C529" s="51"/>
      <c r="D529" s="51"/>
      <c r="F529" s="51"/>
    </row>
    <row r="530" spans="2:6">
      <c r="B530" s="51"/>
      <c r="C530" s="51"/>
      <c r="D530" s="51"/>
      <c r="F530" s="51"/>
    </row>
    <row r="531" spans="2:6">
      <c r="B531" s="51"/>
      <c r="C531" s="51"/>
      <c r="D531" s="51"/>
      <c r="F531" s="51"/>
    </row>
    <row r="532" spans="2:6">
      <c r="B532" s="51"/>
      <c r="C532" s="51"/>
      <c r="D532" s="51"/>
      <c r="F532" s="51"/>
    </row>
    <row r="533" spans="2:6">
      <c r="B533" s="51"/>
      <c r="C533" s="51"/>
      <c r="D533" s="51"/>
      <c r="F533" s="51"/>
    </row>
    <row r="534" spans="2:6">
      <c r="B534" s="51"/>
      <c r="C534" s="51"/>
      <c r="D534" s="51"/>
      <c r="F534" s="51"/>
    </row>
    <row r="535" spans="2:6">
      <c r="B535" s="51"/>
      <c r="C535" s="51"/>
      <c r="D535" s="51"/>
      <c r="F535" s="51"/>
    </row>
    <row r="536" spans="2:6">
      <c r="B536" s="51"/>
      <c r="C536" s="51"/>
      <c r="D536" s="51"/>
      <c r="F536" s="51"/>
    </row>
    <row r="537" spans="2:6">
      <c r="B537" s="51"/>
      <c r="C537" s="51"/>
      <c r="D537" s="51"/>
      <c r="F537" s="51"/>
    </row>
    <row r="538" spans="2:6">
      <c r="B538" s="51"/>
      <c r="C538" s="51"/>
      <c r="D538" s="51"/>
      <c r="F538" s="51"/>
    </row>
    <row r="539" spans="2:6">
      <c r="B539" s="51"/>
      <c r="C539" s="51"/>
      <c r="D539" s="51"/>
      <c r="F539" s="51"/>
    </row>
    <row r="540" spans="2:6">
      <c r="B540" s="51"/>
      <c r="C540" s="51"/>
      <c r="D540" s="51"/>
      <c r="F540" s="51"/>
    </row>
    <row r="541" spans="2:6">
      <c r="B541" s="51"/>
      <c r="C541" s="51"/>
      <c r="D541" s="51"/>
      <c r="F541" s="51"/>
    </row>
    <row r="542" spans="2:6">
      <c r="B542" s="51"/>
      <c r="C542" s="51"/>
      <c r="D542" s="51"/>
      <c r="F542" s="51"/>
    </row>
    <row r="543" spans="2:6">
      <c r="B543" s="51"/>
      <c r="C543" s="51"/>
      <c r="D543" s="51"/>
      <c r="F543" s="51"/>
    </row>
    <row r="544" spans="2:6">
      <c r="B544" s="51"/>
      <c r="C544" s="51"/>
      <c r="D544" s="51"/>
      <c r="F544" s="51"/>
    </row>
    <row r="545" spans="2:6">
      <c r="B545" s="51"/>
      <c r="C545" s="51"/>
      <c r="D545" s="51"/>
      <c r="F545" s="51"/>
    </row>
    <row r="546" spans="2:6">
      <c r="B546" s="51"/>
      <c r="C546" s="51"/>
      <c r="D546" s="51"/>
      <c r="F546" s="51"/>
    </row>
    <row r="547" spans="2:6">
      <c r="B547" s="51"/>
      <c r="C547" s="51"/>
      <c r="D547" s="51"/>
      <c r="F547" s="51"/>
    </row>
    <row r="548" spans="2:6">
      <c r="B548" s="51"/>
      <c r="C548" s="51"/>
      <c r="D548" s="51"/>
      <c r="F548" s="51"/>
    </row>
    <row r="549" spans="2:6">
      <c r="B549" s="51"/>
      <c r="C549" s="51"/>
      <c r="D549" s="51"/>
      <c r="F549" s="51"/>
    </row>
    <row r="550" spans="2:6">
      <c r="B550" s="51"/>
      <c r="C550" s="51"/>
      <c r="D550" s="51"/>
      <c r="F550" s="51"/>
    </row>
    <row r="551" spans="2:6">
      <c r="B551" s="51"/>
      <c r="C551" s="51"/>
      <c r="D551" s="51"/>
      <c r="F551" s="51"/>
    </row>
    <row r="552" spans="2:6">
      <c r="B552" s="51"/>
      <c r="C552" s="51"/>
      <c r="D552" s="51"/>
      <c r="F552" s="51"/>
    </row>
    <row r="553" spans="2:6">
      <c r="B553" s="51"/>
      <c r="C553" s="51"/>
      <c r="D553" s="51"/>
      <c r="F553" s="51"/>
    </row>
    <row r="554" spans="2:6">
      <c r="B554" s="51"/>
      <c r="C554" s="51"/>
      <c r="D554" s="51"/>
      <c r="F554" s="51"/>
    </row>
    <row r="555" spans="2:6">
      <c r="B555" s="51"/>
      <c r="C555" s="51"/>
      <c r="D555" s="51"/>
      <c r="F555" s="51"/>
    </row>
    <row r="556" spans="2:6">
      <c r="B556" s="51"/>
      <c r="C556" s="51"/>
      <c r="D556" s="51"/>
      <c r="F556" s="51"/>
    </row>
    <row r="557" spans="2:6">
      <c r="B557" s="51"/>
      <c r="C557" s="51"/>
      <c r="D557" s="51"/>
      <c r="F557" s="51"/>
    </row>
    <row r="558" spans="2:6">
      <c r="B558" s="51"/>
      <c r="C558" s="51"/>
      <c r="D558" s="51"/>
      <c r="F558" s="51"/>
    </row>
    <row r="559" spans="2:6">
      <c r="B559" s="51"/>
      <c r="C559" s="51"/>
      <c r="D559" s="51"/>
      <c r="F559" s="51"/>
    </row>
    <row r="560" spans="2:6">
      <c r="B560" s="51"/>
      <c r="C560" s="51"/>
      <c r="D560" s="51"/>
      <c r="F560" s="51"/>
    </row>
    <row r="561" spans="2:6">
      <c r="B561" s="51"/>
      <c r="C561" s="51"/>
      <c r="D561" s="51"/>
      <c r="F561" s="51"/>
    </row>
    <row r="562" spans="2:6">
      <c r="B562" s="51"/>
      <c r="C562" s="51"/>
      <c r="D562" s="51"/>
      <c r="F562" s="51"/>
    </row>
    <row r="563" spans="2:6">
      <c r="B563" s="51"/>
      <c r="C563" s="51"/>
      <c r="D563" s="51"/>
      <c r="F563" s="51"/>
    </row>
    <row r="564" spans="2:6">
      <c r="B564" s="51"/>
      <c r="C564" s="51"/>
      <c r="D564" s="51"/>
      <c r="F564" s="51"/>
    </row>
    <row r="565" spans="2:6">
      <c r="B565" s="51"/>
      <c r="C565" s="51"/>
      <c r="D565" s="51"/>
      <c r="F565" s="51"/>
    </row>
    <row r="566" spans="2:6">
      <c r="B566" s="51"/>
      <c r="C566" s="51"/>
      <c r="D566" s="51"/>
      <c r="F566" s="51"/>
    </row>
    <row r="567" spans="2:6">
      <c r="B567" s="51"/>
      <c r="C567" s="51"/>
      <c r="D567" s="51"/>
      <c r="F567" s="51"/>
    </row>
    <row r="568" spans="2:6">
      <c r="B568" s="51"/>
      <c r="C568" s="51"/>
      <c r="D568" s="51"/>
      <c r="F568" s="51"/>
    </row>
    <row r="569" spans="2:6">
      <c r="B569" s="51"/>
      <c r="C569" s="51"/>
      <c r="D569" s="51"/>
      <c r="F569" s="51"/>
    </row>
    <row r="570" spans="2:6">
      <c r="B570" s="51"/>
      <c r="C570" s="51"/>
      <c r="D570" s="51"/>
      <c r="F570" s="51"/>
    </row>
    <row r="571" spans="2:6">
      <c r="B571" s="51"/>
      <c r="C571" s="51"/>
      <c r="D571" s="51"/>
      <c r="F571" s="51"/>
    </row>
    <row r="572" spans="2:6">
      <c r="B572" s="51"/>
      <c r="C572" s="51"/>
      <c r="D572" s="51"/>
      <c r="F572" s="51"/>
    </row>
    <row r="573" spans="2:6">
      <c r="B573" s="51"/>
      <c r="C573" s="51"/>
      <c r="D573" s="51"/>
      <c r="F573" s="51"/>
    </row>
    <row r="574" spans="2:6">
      <c r="B574" s="51"/>
      <c r="C574" s="51"/>
      <c r="D574" s="51"/>
      <c r="F574" s="51"/>
    </row>
    <row r="575" spans="2:6">
      <c r="B575" s="51"/>
      <c r="C575" s="51"/>
      <c r="D575" s="51"/>
      <c r="F575" s="51"/>
    </row>
    <row r="576" spans="2:6">
      <c r="B576" s="51"/>
      <c r="C576" s="51"/>
      <c r="D576" s="51"/>
      <c r="F576" s="51"/>
    </row>
    <row r="577" spans="2:6">
      <c r="B577" s="51"/>
      <c r="C577" s="51"/>
      <c r="D577" s="51"/>
      <c r="F577" s="51"/>
    </row>
    <row r="578" spans="2:6">
      <c r="B578" s="51"/>
      <c r="C578" s="51"/>
      <c r="D578" s="51"/>
      <c r="F578" s="51"/>
    </row>
    <row r="579" spans="2:6">
      <c r="B579" s="51"/>
      <c r="C579" s="51"/>
      <c r="D579" s="51"/>
      <c r="F579" s="51"/>
    </row>
    <row r="580" spans="2:6">
      <c r="B580" s="51"/>
      <c r="C580" s="51"/>
      <c r="D580" s="51"/>
      <c r="F580" s="51"/>
    </row>
    <row r="581" spans="2:6">
      <c r="B581" s="51"/>
      <c r="C581" s="51"/>
      <c r="D581" s="51"/>
      <c r="F581" s="51"/>
    </row>
    <row r="582" spans="2:6">
      <c r="B582" s="51"/>
      <c r="C582" s="51"/>
      <c r="D582" s="51"/>
      <c r="F582" s="51"/>
    </row>
    <row r="583" spans="2:6">
      <c r="B583" s="51"/>
      <c r="C583" s="51"/>
      <c r="D583" s="51"/>
      <c r="F583" s="51"/>
    </row>
    <row r="584" spans="2:6">
      <c r="B584" s="51"/>
      <c r="C584" s="51"/>
      <c r="D584" s="51"/>
      <c r="F584" s="51"/>
    </row>
    <row r="585" spans="2:6">
      <c r="B585" s="51"/>
      <c r="C585" s="51"/>
      <c r="D585" s="51"/>
      <c r="F585" s="51"/>
    </row>
    <row r="586" spans="2:6">
      <c r="B586" s="51"/>
      <c r="C586" s="51"/>
      <c r="D586" s="51"/>
      <c r="F586" s="51"/>
    </row>
    <row r="587" spans="2:6">
      <c r="B587" s="51"/>
      <c r="C587" s="51"/>
      <c r="D587" s="51"/>
      <c r="F587" s="51"/>
    </row>
    <row r="588" spans="2:6">
      <c r="B588" s="51"/>
      <c r="C588" s="51"/>
      <c r="D588" s="51"/>
      <c r="F588" s="51"/>
    </row>
    <row r="589" spans="2:6">
      <c r="B589" s="51"/>
      <c r="C589" s="51"/>
      <c r="D589" s="51"/>
      <c r="F589" s="51"/>
    </row>
    <row r="590" spans="2:6">
      <c r="B590" s="51"/>
      <c r="C590" s="51"/>
      <c r="D590" s="51"/>
      <c r="F590" s="51"/>
    </row>
    <row r="591" spans="2:6">
      <c r="B591" s="51"/>
      <c r="C591" s="51"/>
      <c r="D591" s="51"/>
      <c r="F591" s="51"/>
    </row>
    <row r="592" spans="2:6">
      <c r="B592" s="51"/>
      <c r="C592" s="51"/>
      <c r="D592" s="51"/>
      <c r="F592" s="51"/>
    </row>
    <row r="593" spans="2:6">
      <c r="B593" s="51"/>
      <c r="C593" s="51"/>
      <c r="D593" s="51"/>
      <c r="F593" s="51"/>
    </row>
    <row r="594" spans="2:6">
      <c r="B594" s="51"/>
      <c r="C594" s="51"/>
      <c r="D594" s="51"/>
      <c r="F594" s="51"/>
    </row>
    <row r="595" spans="2:6">
      <c r="B595" s="51"/>
      <c r="C595" s="51"/>
      <c r="D595" s="51"/>
      <c r="F595" s="51"/>
    </row>
    <row r="596" spans="2:6">
      <c r="B596" s="51"/>
      <c r="C596" s="51"/>
      <c r="D596" s="51"/>
      <c r="F596" s="51"/>
    </row>
    <row r="597" spans="2:6">
      <c r="B597" s="51"/>
      <c r="C597" s="51"/>
      <c r="D597" s="51"/>
      <c r="F597" s="51"/>
    </row>
    <row r="598" spans="2:6">
      <c r="B598" s="51"/>
      <c r="C598" s="51"/>
      <c r="D598" s="51"/>
      <c r="F598" s="51"/>
    </row>
    <row r="599" spans="2:6">
      <c r="B599" s="51"/>
      <c r="C599" s="51"/>
      <c r="D599" s="51"/>
      <c r="F599" s="51"/>
    </row>
    <row r="600" spans="2:6">
      <c r="B600" s="51"/>
      <c r="C600" s="51"/>
      <c r="D600" s="51"/>
      <c r="F600" s="51"/>
    </row>
    <row r="601" spans="2:6">
      <c r="B601" s="51"/>
      <c r="C601" s="51"/>
      <c r="D601" s="51"/>
      <c r="F601" s="51"/>
    </row>
    <row r="602" spans="2:6">
      <c r="B602" s="51"/>
      <c r="C602" s="51"/>
      <c r="D602" s="51"/>
      <c r="F602" s="51"/>
    </row>
    <row r="603" spans="2:6">
      <c r="B603" s="51"/>
      <c r="C603" s="51"/>
      <c r="D603" s="51"/>
      <c r="F603" s="51"/>
    </row>
    <row r="604" spans="2:6">
      <c r="B604" s="51"/>
      <c r="C604" s="51"/>
      <c r="D604" s="51"/>
      <c r="F604" s="51"/>
    </row>
    <row r="605" spans="2:6">
      <c r="B605" s="51"/>
      <c r="C605" s="51"/>
      <c r="D605" s="51"/>
      <c r="F605" s="51"/>
    </row>
    <row r="606" spans="2:6">
      <c r="B606" s="51"/>
      <c r="C606" s="51"/>
      <c r="D606" s="51"/>
      <c r="F606" s="51"/>
    </row>
    <row r="607" spans="2:6">
      <c r="B607" s="51"/>
      <c r="C607" s="51"/>
      <c r="D607" s="51"/>
      <c r="F607" s="51"/>
    </row>
    <row r="608" spans="2:6">
      <c r="B608" s="51"/>
      <c r="C608" s="51"/>
      <c r="D608" s="51"/>
      <c r="F608" s="51"/>
    </row>
    <row r="609" spans="2:6">
      <c r="B609" s="51"/>
      <c r="C609" s="51"/>
      <c r="D609" s="51"/>
      <c r="F609" s="51"/>
    </row>
    <row r="610" spans="2:6">
      <c r="B610" s="51"/>
      <c r="C610" s="51"/>
      <c r="D610" s="51"/>
      <c r="F610" s="51"/>
    </row>
    <row r="611" spans="2:6">
      <c r="B611" s="51"/>
      <c r="C611" s="51"/>
      <c r="D611" s="51"/>
      <c r="F611" s="51"/>
    </row>
    <row r="612" spans="2:6">
      <c r="B612" s="51"/>
      <c r="C612" s="51"/>
      <c r="D612" s="51"/>
      <c r="F612" s="51"/>
    </row>
    <row r="613" spans="2:6">
      <c r="B613" s="51"/>
      <c r="C613" s="51"/>
      <c r="D613" s="51"/>
      <c r="F613" s="51"/>
    </row>
    <row r="614" spans="2:6">
      <c r="B614" s="51"/>
      <c r="C614" s="51"/>
      <c r="D614" s="51"/>
      <c r="F614" s="51"/>
    </row>
    <row r="615" spans="2:6">
      <c r="B615" s="51"/>
      <c r="C615" s="51"/>
      <c r="D615" s="51"/>
      <c r="F615" s="51"/>
    </row>
    <row r="616" spans="2:6">
      <c r="B616" s="51"/>
      <c r="C616" s="51"/>
      <c r="D616" s="51"/>
      <c r="F616" s="51"/>
    </row>
    <row r="617" spans="2:6">
      <c r="B617" s="51"/>
      <c r="C617" s="51"/>
      <c r="D617" s="51"/>
      <c r="F617" s="51"/>
    </row>
    <row r="618" spans="2:6">
      <c r="B618" s="51"/>
      <c r="C618" s="51"/>
      <c r="D618" s="51"/>
      <c r="F618" s="51"/>
    </row>
    <row r="619" spans="2:6">
      <c r="B619" s="51"/>
      <c r="C619" s="51"/>
      <c r="D619" s="51"/>
      <c r="F619" s="51"/>
    </row>
    <row r="620" spans="2:6">
      <c r="B620" s="51"/>
      <c r="C620" s="51"/>
      <c r="D620" s="51"/>
      <c r="F620" s="51"/>
    </row>
    <row r="621" spans="2:6">
      <c r="B621" s="51"/>
      <c r="C621" s="51"/>
      <c r="D621" s="51"/>
      <c r="F621" s="51"/>
    </row>
    <row r="622" spans="2:6">
      <c r="B622" s="51"/>
      <c r="C622" s="51"/>
      <c r="D622" s="51"/>
      <c r="F622" s="51"/>
    </row>
    <row r="623" spans="2:6">
      <c r="B623" s="51"/>
      <c r="C623" s="51"/>
      <c r="D623" s="51"/>
      <c r="F623" s="51"/>
    </row>
    <row r="624" spans="2:6">
      <c r="B624" s="51"/>
      <c r="C624" s="51"/>
      <c r="D624" s="51"/>
      <c r="F624" s="51"/>
    </row>
    <row r="625" spans="2:6">
      <c r="B625" s="51"/>
      <c r="C625" s="51"/>
      <c r="D625" s="51"/>
      <c r="F625" s="51"/>
    </row>
    <row r="626" spans="2:6">
      <c r="B626" s="51"/>
      <c r="C626" s="51"/>
      <c r="D626" s="51"/>
      <c r="F626" s="51"/>
    </row>
    <row r="627" spans="2:6">
      <c r="B627" s="51"/>
      <c r="C627" s="51"/>
      <c r="D627" s="51"/>
      <c r="F627" s="51"/>
    </row>
    <row r="628" spans="2:6">
      <c r="B628" s="51"/>
      <c r="C628" s="51"/>
      <c r="D628" s="51"/>
      <c r="F628" s="51"/>
    </row>
    <row r="629" spans="2:6">
      <c r="B629" s="51"/>
      <c r="C629" s="51"/>
      <c r="D629" s="51"/>
      <c r="F629" s="51"/>
    </row>
    <row r="630" spans="2:6">
      <c r="B630" s="51"/>
      <c r="C630" s="51"/>
      <c r="D630" s="51"/>
      <c r="F630" s="51"/>
    </row>
    <row r="631" spans="2:6">
      <c r="B631" s="51"/>
      <c r="C631" s="51"/>
      <c r="D631" s="51"/>
      <c r="F631" s="51"/>
    </row>
    <row r="632" spans="2:6">
      <c r="B632" s="51"/>
      <c r="C632" s="51"/>
      <c r="D632" s="51"/>
      <c r="F632" s="51"/>
    </row>
    <row r="633" spans="2:6">
      <c r="B633" s="51"/>
      <c r="C633" s="51"/>
      <c r="D633" s="51"/>
      <c r="F633" s="51"/>
    </row>
    <row r="634" spans="2:6">
      <c r="B634" s="51"/>
      <c r="C634" s="51"/>
      <c r="D634" s="51"/>
      <c r="F634" s="51"/>
    </row>
    <row r="635" spans="2:6">
      <c r="B635" s="51"/>
      <c r="C635" s="51"/>
      <c r="D635" s="51"/>
      <c r="F635" s="51"/>
    </row>
    <row r="636" spans="2:6">
      <c r="B636" s="51"/>
      <c r="C636" s="51"/>
      <c r="D636" s="51"/>
      <c r="F636" s="51"/>
    </row>
    <row r="637" spans="2:6">
      <c r="B637" s="51"/>
      <c r="C637" s="51"/>
      <c r="D637" s="51"/>
      <c r="F637" s="51"/>
    </row>
    <row r="638" spans="2:6">
      <c r="B638" s="51"/>
      <c r="C638" s="51"/>
      <c r="D638" s="51"/>
      <c r="F638" s="51"/>
    </row>
    <row r="639" spans="2:6">
      <c r="B639" s="51"/>
      <c r="C639" s="51"/>
      <c r="D639" s="51"/>
      <c r="F639" s="51"/>
    </row>
    <row r="640" spans="2:6">
      <c r="B640" s="51"/>
      <c r="C640" s="51"/>
      <c r="D640" s="51"/>
      <c r="F640" s="51"/>
    </row>
    <row r="641" spans="2:6">
      <c r="B641" s="51"/>
      <c r="C641" s="51"/>
      <c r="D641" s="51"/>
      <c r="F641" s="51"/>
    </row>
    <row r="642" spans="2:6">
      <c r="B642" s="51"/>
      <c r="C642" s="51"/>
      <c r="D642" s="51"/>
      <c r="F642" s="51"/>
    </row>
    <row r="643" spans="2:6">
      <c r="B643" s="51"/>
      <c r="C643" s="51"/>
      <c r="D643" s="51"/>
      <c r="F643" s="51"/>
    </row>
    <row r="644" spans="2:6">
      <c r="B644" s="51"/>
      <c r="C644" s="51"/>
      <c r="D644" s="51"/>
      <c r="F644" s="51"/>
    </row>
    <row r="645" spans="2:6">
      <c r="B645" s="51"/>
      <c r="C645" s="51"/>
      <c r="D645" s="51"/>
      <c r="F645" s="51"/>
    </row>
    <row r="646" spans="2:6">
      <c r="B646" s="51"/>
      <c r="C646" s="51"/>
      <c r="D646" s="51"/>
      <c r="F646" s="51"/>
    </row>
    <row r="647" spans="2:6">
      <c r="B647" s="51"/>
      <c r="C647" s="51"/>
      <c r="D647" s="51"/>
      <c r="F647" s="51"/>
    </row>
    <row r="648" spans="2:6">
      <c r="B648" s="51"/>
      <c r="C648" s="51"/>
      <c r="D648" s="51"/>
      <c r="F648" s="51"/>
    </row>
    <row r="649" spans="2:6">
      <c r="B649" s="51"/>
      <c r="C649" s="51"/>
      <c r="D649" s="51"/>
      <c r="F649" s="51"/>
    </row>
    <row r="650" spans="2:6">
      <c r="B650" s="51"/>
      <c r="C650" s="51"/>
      <c r="D650" s="51"/>
      <c r="F650" s="51"/>
    </row>
    <row r="651" spans="2:6">
      <c r="B651" s="51"/>
      <c r="C651" s="51"/>
      <c r="D651" s="51"/>
      <c r="F651" s="51"/>
    </row>
    <row r="652" spans="2:6">
      <c r="B652" s="51"/>
      <c r="C652" s="51"/>
      <c r="D652" s="51"/>
      <c r="F652" s="51"/>
    </row>
    <row r="653" spans="2:6">
      <c r="B653" s="51"/>
      <c r="C653" s="51"/>
      <c r="D653" s="51"/>
      <c r="F653" s="51"/>
    </row>
    <row r="654" spans="2:6">
      <c r="B654" s="51"/>
      <c r="C654" s="51"/>
      <c r="D654" s="51"/>
      <c r="F654" s="51"/>
    </row>
    <row r="655" spans="2:6">
      <c r="B655" s="51"/>
      <c r="C655" s="51"/>
      <c r="D655" s="51"/>
      <c r="F655" s="51"/>
    </row>
    <row r="656" spans="2:6">
      <c r="B656" s="51"/>
      <c r="C656" s="51"/>
      <c r="D656" s="51"/>
      <c r="F656" s="51"/>
    </row>
    <row r="657" spans="2:6">
      <c r="B657" s="51"/>
      <c r="C657" s="51"/>
      <c r="D657" s="51"/>
      <c r="F657" s="51"/>
    </row>
    <row r="658" spans="2:6">
      <c r="B658" s="51"/>
      <c r="C658" s="51"/>
      <c r="D658" s="51"/>
      <c r="F658" s="51"/>
    </row>
    <row r="659" spans="2:6">
      <c r="B659" s="51"/>
      <c r="C659" s="51"/>
      <c r="D659" s="51"/>
      <c r="F659" s="51"/>
    </row>
    <row r="660" spans="2:6">
      <c r="B660" s="51"/>
      <c r="C660" s="51"/>
      <c r="D660" s="51"/>
      <c r="F660" s="51"/>
    </row>
    <row r="661" spans="2:6">
      <c r="B661" s="51"/>
      <c r="C661" s="51"/>
      <c r="D661" s="51"/>
      <c r="F661" s="51"/>
    </row>
    <row r="662" spans="2:6">
      <c r="B662" s="51"/>
      <c r="C662" s="51"/>
      <c r="D662" s="51"/>
      <c r="F662" s="51"/>
    </row>
    <row r="663" spans="2:6">
      <c r="B663" s="51"/>
      <c r="C663" s="51"/>
      <c r="D663" s="51"/>
      <c r="F663" s="51"/>
    </row>
    <row r="664" spans="2:6">
      <c r="B664" s="51"/>
      <c r="C664" s="51"/>
      <c r="D664" s="51"/>
      <c r="F664" s="51"/>
    </row>
    <row r="665" spans="2:6">
      <c r="B665" s="51"/>
      <c r="C665" s="51"/>
      <c r="D665" s="51"/>
      <c r="F665" s="51"/>
    </row>
    <row r="666" spans="2:6">
      <c r="B666" s="51"/>
      <c r="C666" s="51"/>
      <c r="D666" s="51"/>
      <c r="F666" s="51"/>
    </row>
    <row r="667" spans="2:6">
      <c r="B667" s="51"/>
      <c r="C667" s="51"/>
      <c r="D667" s="51"/>
      <c r="F667" s="51"/>
    </row>
    <row r="668" spans="2:6">
      <c r="B668" s="51"/>
      <c r="C668" s="51"/>
      <c r="D668" s="51"/>
      <c r="F668" s="51"/>
    </row>
    <row r="669" spans="2:6">
      <c r="B669" s="51"/>
      <c r="C669" s="51"/>
      <c r="D669" s="51"/>
      <c r="F669" s="51"/>
    </row>
    <row r="670" spans="2:6">
      <c r="B670" s="51"/>
      <c r="C670" s="51"/>
      <c r="D670" s="51"/>
      <c r="F670" s="51"/>
    </row>
    <row r="671" spans="2:6">
      <c r="B671" s="51"/>
      <c r="C671" s="51"/>
      <c r="D671" s="51"/>
      <c r="F671" s="51"/>
    </row>
    <row r="672" spans="2:6">
      <c r="B672" s="51"/>
      <c r="C672" s="51"/>
      <c r="D672" s="51"/>
      <c r="F672" s="51"/>
    </row>
    <row r="673" spans="2:6">
      <c r="B673" s="51"/>
      <c r="C673" s="51"/>
      <c r="D673" s="51"/>
      <c r="F673" s="51"/>
    </row>
    <row r="674" spans="2:6">
      <c r="B674" s="51"/>
      <c r="C674" s="51"/>
      <c r="D674" s="51"/>
      <c r="F674" s="51"/>
    </row>
    <row r="675" spans="2:6">
      <c r="B675" s="51"/>
      <c r="C675" s="51"/>
      <c r="D675" s="51"/>
      <c r="F675" s="51"/>
    </row>
    <row r="676" spans="2:6">
      <c r="B676" s="51"/>
      <c r="C676" s="51"/>
      <c r="D676" s="51"/>
      <c r="F676" s="51"/>
    </row>
    <row r="677" spans="2:6">
      <c r="B677" s="51"/>
      <c r="C677" s="51"/>
      <c r="D677" s="51"/>
      <c r="F677" s="51"/>
    </row>
    <row r="678" spans="2:6">
      <c r="B678" s="51"/>
      <c r="C678" s="51"/>
      <c r="D678" s="51"/>
      <c r="F678" s="51"/>
    </row>
    <row r="679" spans="2:6">
      <c r="B679" s="51"/>
      <c r="C679" s="51"/>
      <c r="D679" s="51"/>
      <c r="F679" s="51"/>
    </row>
    <row r="680" spans="2:6">
      <c r="B680" s="51"/>
      <c r="C680" s="51"/>
      <c r="D680" s="51"/>
      <c r="F680" s="51"/>
    </row>
    <row r="681" spans="2:6">
      <c r="B681" s="51"/>
      <c r="C681" s="51"/>
      <c r="D681" s="51"/>
      <c r="F681" s="51"/>
    </row>
    <row r="682" spans="2:6">
      <c r="B682" s="51"/>
      <c r="C682" s="51"/>
      <c r="D682" s="51"/>
      <c r="F682" s="51"/>
    </row>
    <row r="683" spans="2:6">
      <c r="B683" s="51"/>
      <c r="C683" s="51"/>
      <c r="D683" s="51"/>
      <c r="F683" s="51"/>
    </row>
    <row r="684" spans="2:6">
      <c r="B684" s="51"/>
      <c r="C684" s="51"/>
      <c r="D684" s="51"/>
      <c r="F684" s="51"/>
    </row>
    <row r="685" spans="2:6">
      <c r="B685" s="51"/>
      <c r="C685" s="51"/>
      <c r="D685" s="51"/>
      <c r="F685" s="51"/>
    </row>
    <row r="686" spans="2:6">
      <c r="B686" s="51"/>
      <c r="C686" s="51"/>
      <c r="D686" s="51"/>
      <c r="F686" s="51"/>
    </row>
    <row r="687" spans="2:6">
      <c r="B687" s="51"/>
      <c r="C687" s="51"/>
      <c r="D687" s="51"/>
      <c r="F687" s="51"/>
    </row>
    <row r="688" spans="2:6">
      <c r="B688" s="51"/>
      <c r="C688" s="51"/>
      <c r="D688" s="51"/>
      <c r="F688" s="51"/>
    </row>
    <row r="689" spans="2:6">
      <c r="B689" s="51"/>
      <c r="C689" s="51"/>
      <c r="D689" s="51"/>
      <c r="F689" s="51"/>
    </row>
    <row r="690" spans="2:6">
      <c r="B690" s="51"/>
      <c r="C690" s="51"/>
      <c r="D690" s="51"/>
      <c r="F690" s="51"/>
    </row>
    <row r="691" spans="2:6">
      <c r="B691" s="51"/>
      <c r="C691" s="51"/>
      <c r="D691" s="51"/>
      <c r="F691" s="51"/>
    </row>
    <row r="692" spans="2:6">
      <c r="B692" s="51"/>
      <c r="C692" s="51"/>
      <c r="D692" s="51"/>
      <c r="F692" s="51"/>
    </row>
    <row r="693" spans="2:6">
      <c r="B693" s="51"/>
      <c r="C693" s="51"/>
      <c r="D693" s="51"/>
      <c r="F693" s="51"/>
    </row>
    <row r="694" spans="2:6">
      <c r="B694" s="51"/>
      <c r="C694" s="51"/>
      <c r="D694" s="51"/>
      <c r="F694" s="51"/>
    </row>
    <row r="695" spans="2:6">
      <c r="B695" s="51"/>
      <c r="C695" s="51"/>
      <c r="D695" s="51"/>
      <c r="F695" s="51"/>
    </row>
    <row r="696" spans="2:6">
      <c r="B696" s="51"/>
      <c r="C696" s="51"/>
      <c r="D696" s="51"/>
      <c r="F696" s="51"/>
    </row>
    <row r="697" spans="2:6">
      <c r="B697" s="51"/>
      <c r="C697" s="51"/>
      <c r="D697" s="51"/>
      <c r="F697" s="51"/>
    </row>
    <row r="698" spans="2:6">
      <c r="B698" s="51"/>
      <c r="C698" s="51"/>
      <c r="D698" s="51"/>
      <c r="F698" s="51"/>
    </row>
    <row r="699" spans="2:6">
      <c r="B699" s="51"/>
      <c r="C699" s="51"/>
      <c r="D699" s="51"/>
      <c r="F699" s="51"/>
    </row>
    <row r="700" spans="2:6">
      <c r="B700" s="51"/>
      <c r="C700" s="51"/>
      <c r="D700" s="51"/>
      <c r="F700" s="51"/>
    </row>
    <row r="701" spans="2:6">
      <c r="B701" s="51"/>
      <c r="C701" s="51"/>
      <c r="D701" s="51"/>
      <c r="F701" s="51"/>
    </row>
    <row r="702" spans="2:6">
      <c r="B702" s="51"/>
      <c r="C702" s="51"/>
      <c r="D702" s="51"/>
      <c r="F702" s="51"/>
    </row>
    <row r="703" spans="2:6">
      <c r="B703" s="51"/>
      <c r="C703" s="51"/>
      <c r="D703" s="51"/>
      <c r="F703" s="51"/>
    </row>
    <row r="704" spans="2:6">
      <c r="B704" s="51"/>
      <c r="C704" s="51"/>
      <c r="D704" s="51"/>
      <c r="F704" s="51"/>
    </row>
    <row r="705" spans="2:6">
      <c r="B705" s="51"/>
      <c r="C705" s="51"/>
      <c r="D705" s="51"/>
      <c r="F705" s="51"/>
    </row>
    <row r="706" spans="2:6">
      <c r="B706" s="51"/>
      <c r="C706" s="51"/>
      <c r="D706" s="51"/>
      <c r="F706" s="51"/>
    </row>
    <row r="707" spans="2:6">
      <c r="B707" s="51"/>
      <c r="C707" s="51"/>
      <c r="D707" s="51"/>
      <c r="F707" s="51"/>
    </row>
    <row r="708" spans="2:6">
      <c r="B708" s="51"/>
      <c r="C708" s="51"/>
      <c r="D708" s="51"/>
      <c r="F708" s="51"/>
    </row>
    <row r="709" spans="2:6">
      <c r="B709" s="51"/>
      <c r="C709" s="51"/>
      <c r="D709" s="51"/>
      <c r="F709" s="51"/>
    </row>
    <row r="710" spans="2:6">
      <c r="B710" s="51"/>
      <c r="C710" s="51"/>
      <c r="D710" s="51"/>
      <c r="F710" s="51"/>
    </row>
    <row r="711" spans="2:6">
      <c r="B711" s="51"/>
      <c r="C711" s="51"/>
      <c r="D711" s="51"/>
      <c r="F711" s="51"/>
    </row>
    <row r="712" spans="2:6">
      <c r="B712" s="51"/>
      <c r="C712" s="51"/>
      <c r="D712" s="51"/>
      <c r="F712" s="51"/>
    </row>
    <row r="713" spans="2:6">
      <c r="B713" s="51"/>
      <c r="C713" s="51"/>
      <c r="D713" s="51"/>
      <c r="F713" s="51"/>
    </row>
    <row r="714" spans="2:6">
      <c r="B714" s="51"/>
      <c r="C714" s="51"/>
      <c r="D714" s="51"/>
      <c r="F714" s="51"/>
    </row>
    <row r="715" spans="2:6">
      <c r="B715" s="51"/>
      <c r="C715" s="51"/>
      <c r="D715" s="51"/>
      <c r="F715" s="51"/>
    </row>
    <row r="716" spans="2:6">
      <c r="B716" s="51"/>
      <c r="C716" s="51"/>
      <c r="D716" s="51"/>
      <c r="F716" s="51"/>
    </row>
    <row r="717" spans="2:6">
      <c r="B717" s="51"/>
      <c r="C717" s="51"/>
      <c r="D717" s="51"/>
      <c r="F717" s="51"/>
    </row>
    <row r="718" spans="2:6">
      <c r="B718" s="51"/>
      <c r="C718" s="51"/>
      <c r="D718" s="51"/>
      <c r="F718" s="51"/>
    </row>
    <row r="719" spans="2:6">
      <c r="B719" s="51"/>
      <c r="C719" s="51"/>
      <c r="D719" s="51"/>
      <c r="F719" s="51"/>
    </row>
    <row r="720" spans="2:6">
      <c r="B720" s="51"/>
      <c r="C720" s="51"/>
      <c r="D720" s="51"/>
      <c r="F720" s="51"/>
    </row>
    <row r="721" spans="2:6">
      <c r="B721" s="51"/>
      <c r="C721" s="51"/>
      <c r="D721" s="51"/>
      <c r="F721" s="51"/>
    </row>
    <row r="722" spans="2:6">
      <c r="B722" s="51"/>
      <c r="C722" s="51"/>
      <c r="D722" s="51"/>
      <c r="F722" s="51"/>
    </row>
    <row r="723" spans="2:6">
      <c r="B723" s="51"/>
      <c r="C723" s="51"/>
      <c r="D723" s="51"/>
      <c r="F723" s="51"/>
    </row>
    <row r="724" spans="2:6">
      <c r="B724" s="51"/>
      <c r="C724" s="51"/>
      <c r="D724" s="51"/>
      <c r="F724" s="51"/>
    </row>
    <row r="725" spans="2:6">
      <c r="B725" s="51"/>
      <c r="C725" s="51"/>
      <c r="D725" s="51"/>
      <c r="F725" s="51"/>
    </row>
    <row r="726" spans="2:6">
      <c r="B726" s="51"/>
      <c r="C726" s="51"/>
      <c r="D726" s="51"/>
      <c r="F726" s="51"/>
    </row>
    <row r="727" spans="2:6">
      <c r="B727" s="51"/>
      <c r="C727" s="51"/>
      <c r="D727" s="51"/>
      <c r="F727" s="51"/>
    </row>
    <row r="728" spans="2:6">
      <c r="B728" s="51"/>
      <c r="C728" s="51"/>
      <c r="D728" s="51"/>
      <c r="F728" s="51"/>
    </row>
    <row r="729" spans="2:6">
      <c r="B729" s="51"/>
      <c r="C729" s="51"/>
      <c r="D729" s="51"/>
      <c r="F729" s="51"/>
    </row>
    <row r="730" spans="2:6">
      <c r="B730" s="51"/>
      <c r="C730" s="51"/>
      <c r="D730" s="51"/>
      <c r="F730" s="51"/>
    </row>
    <row r="731" spans="2:6">
      <c r="B731" s="51"/>
      <c r="C731" s="51"/>
      <c r="D731" s="51"/>
      <c r="F731" s="51"/>
    </row>
    <row r="732" spans="2:6">
      <c r="B732" s="51"/>
      <c r="C732" s="51"/>
      <c r="D732" s="51"/>
      <c r="F732" s="51"/>
    </row>
    <row r="733" spans="2:6">
      <c r="B733" s="51"/>
      <c r="C733" s="51"/>
      <c r="D733" s="51"/>
      <c r="F733" s="51"/>
    </row>
    <row r="734" spans="2:6">
      <c r="B734" s="51"/>
      <c r="C734" s="51"/>
      <c r="D734" s="51"/>
      <c r="F734" s="51"/>
    </row>
    <row r="735" spans="2:6">
      <c r="B735" s="51"/>
      <c r="C735" s="51"/>
      <c r="D735" s="51"/>
      <c r="F735" s="51"/>
    </row>
    <row r="736" spans="2:6">
      <c r="B736" s="51"/>
      <c r="C736" s="51"/>
      <c r="D736" s="51"/>
      <c r="F736" s="51"/>
    </row>
    <row r="737" spans="2:6">
      <c r="B737" s="51"/>
      <c r="C737" s="51"/>
      <c r="D737" s="51"/>
      <c r="F737" s="51"/>
    </row>
    <row r="738" spans="2:6">
      <c r="B738" s="51"/>
      <c r="C738" s="51"/>
      <c r="D738" s="51"/>
      <c r="F738" s="51"/>
    </row>
    <row r="739" spans="2:6">
      <c r="B739" s="51"/>
      <c r="C739" s="51"/>
      <c r="D739" s="51"/>
      <c r="F739" s="51"/>
    </row>
    <row r="740" spans="2:6">
      <c r="B740" s="51"/>
      <c r="C740" s="51"/>
      <c r="D740" s="51"/>
      <c r="F740" s="51"/>
    </row>
    <row r="741" spans="2:6">
      <c r="B741" s="51"/>
      <c r="C741" s="51"/>
      <c r="D741" s="51"/>
      <c r="F741" s="51"/>
    </row>
    <row r="742" spans="2:6">
      <c r="B742" s="51"/>
      <c r="C742" s="51"/>
      <c r="D742" s="51"/>
      <c r="F742" s="51"/>
    </row>
    <row r="743" spans="2:6">
      <c r="B743" s="51"/>
      <c r="C743" s="51"/>
      <c r="D743" s="51"/>
      <c r="F743" s="51"/>
    </row>
    <row r="744" spans="2:6">
      <c r="B744" s="51"/>
      <c r="C744" s="51"/>
      <c r="D744" s="51"/>
      <c r="F744" s="51"/>
    </row>
    <row r="745" spans="2:6">
      <c r="B745" s="51"/>
      <c r="C745" s="51"/>
      <c r="D745" s="51"/>
      <c r="F745" s="51"/>
    </row>
    <row r="746" spans="2:6">
      <c r="B746" s="51"/>
      <c r="C746" s="51"/>
      <c r="D746" s="51"/>
      <c r="F746" s="51"/>
    </row>
    <row r="747" spans="2:6">
      <c r="B747" s="51"/>
      <c r="C747" s="51"/>
      <c r="D747" s="51"/>
      <c r="F747" s="51"/>
    </row>
    <row r="748" spans="2:6">
      <c r="B748" s="51"/>
      <c r="C748" s="51"/>
      <c r="D748" s="51"/>
      <c r="F748" s="51"/>
    </row>
    <row r="749" spans="2:6">
      <c r="B749" s="51"/>
      <c r="C749" s="51"/>
      <c r="D749" s="51"/>
      <c r="F749" s="51"/>
    </row>
    <row r="750" spans="2:6">
      <c r="B750" s="51"/>
      <c r="C750" s="51"/>
      <c r="D750" s="51"/>
      <c r="F750" s="51"/>
    </row>
    <row r="751" spans="2:6">
      <c r="B751" s="51"/>
      <c r="C751" s="51"/>
      <c r="D751" s="51"/>
      <c r="F751" s="51"/>
    </row>
    <row r="752" spans="2:6">
      <c r="B752" s="51"/>
      <c r="C752" s="51"/>
      <c r="D752" s="51"/>
      <c r="F752" s="51"/>
    </row>
    <row r="753" spans="2:6">
      <c r="B753" s="51"/>
      <c r="C753" s="51"/>
      <c r="D753" s="51"/>
      <c r="F753" s="51"/>
    </row>
    <row r="754" spans="2:6">
      <c r="B754" s="51"/>
      <c r="C754" s="51"/>
      <c r="D754" s="51"/>
      <c r="F754" s="51"/>
    </row>
    <row r="755" spans="2:6">
      <c r="B755" s="51"/>
      <c r="C755" s="51"/>
      <c r="D755" s="51"/>
      <c r="F755" s="51"/>
    </row>
    <row r="756" spans="2:6">
      <c r="B756" s="51"/>
      <c r="C756" s="51"/>
      <c r="D756" s="51"/>
      <c r="F756" s="51"/>
    </row>
    <row r="757" spans="2:6">
      <c r="B757" s="51"/>
      <c r="C757" s="51"/>
      <c r="D757" s="51"/>
      <c r="F757" s="51"/>
    </row>
    <row r="758" spans="2:6">
      <c r="B758" s="51"/>
      <c r="C758" s="51"/>
      <c r="D758" s="51"/>
      <c r="F758" s="51"/>
    </row>
    <row r="759" spans="2:6">
      <c r="B759" s="51"/>
      <c r="C759" s="51"/>
      <c r="D759" s="51"/>
      <c r="F759" s="51"/>
    </row>
    <row r="760" spans="2:6">
      <c r="B760" s="51"/>
      <c r="C760" s="51"/>
      <c r="D760" s="51"/>
      <c r="F760" s="51"/>
    </row>
    <row r="761" spans="2:6">
      <c r="B761" s="51"/>
      <c r="C761" s="51"/>
      <c r="D761" s="51"/>
      <c r="F761" s="51"/>
    </row>
    <row r="762" spans="2:6">
      <c r="B762" s="51"/>
      <c r="C762" s="51"/>
      <c r="D762" s="51"/>
      <c r="F762" s="51"/>
    </row>
    <row r="763" spans="2:6">
      <c r="B763" s="51"/>
      <c r="C763" s="51"/>
      <c r="D763" s="51"/>
      <c r="F763" s="51"/>
    </row>
    <row r="764" spans="2:6">
      <c r="B764" s="51"/>
      <c r="C764" s="51"/>
      <c r="D764" s="51"/>
      <c r="F764" s="51"/>
    </row>
    <row r="765" spans="2:6">
      <c r="B765" s="51"/>
      <c r="C765" s="51"/>
      <c r="D765" s="51"/>
      <c r="F765" s="51"/>
    </row>
    <row r="766" spans="2:6">
      <c r="B766" s="51"/>
      <c r="C766" s="51"/>
      <c r="D766" s="51"/>
      <c r="F766" s="51"/>
    </row>
    <row r="767" spans="2:6">
      <c r="B767" s="51"/>
      <c r="C767" s="51"/>
      <c r="D767" s="51"/>
      <c r="F767" s="51"/>
    </row>
    <row r="768" spans="2:6">
      <c r="B768" s="51"/>
      <c r="C768" s="51"/>
      <c r="D768" s="51"/>
      <c r="F768" s="51"/>
    </row>
    <row r="769" spans="2:6">
      <c r="B769" s="51"/>
      <c r="C769" s="51"/>
      <c r="D769" s="51"/>
      <c r="F769" s="51"/>
    </row>
    <row r="770" spans="2:6">
      <c r="B770" s="51"/>
      <c r="C770" s="51"/>
      <c r="D770" s="51"/>
      <c r="F770" s="51"/>
    </row>
    <row r="771" spans="2:6">
      <c r="B771" s="51"/>
      <c r="C771" s="51"/>
      <c r="D771" s="51"/>
      <c r="F771" s="51"/>
    </row>
    <row r="772" spans="2:6">
      <c r="B772" s="51"/>
      <c r="C772" s="51"/>
      <c r="D772" s="51"/>
      <c r="F772" s="51"/>
    </row>
    <row r="773" spans="2:6">
      <c r="B773" s="51"/>
      <c r="C773" s="51"/>
      <c r="D773" s="51"/>
      <c r="F773" s="51"/>
    </row>
    <row r="774" spans="2:6">
      <c r="B774" s="51"/>
      <c r="C774" s="51"/>
      <c r="D774" s="51"/>
      <c r="F774" s="51"/>
    </row>
    <row r="775" spans="2:6">
      <c r="B775" s="51"/>
      <c r="C775" s="51"/>
      <c r="D775" s="51"/>
      <c r="F775" s="51"/>
    </row>
    <row r="776" spans="2:6">
      <c r="B776" s="51"/>
      <c r="C776" s="51"/>
      <c r="D776" s="51"/>
      <c r="F776" s="51"/>
    </row>
    <row r="777" spans="2:6">
      <c r="B777" s="51"/>
      <c r="C777" s="51"/>
      <c r="D777" s="51"/>
      <c r="F777" s="51"/>
    </row>
    <row r="778" spans="2:6">
      <c r="B778" s="51"/>
      <c r="C778" s="51"/>
      <c r="D778" s="51"/>
      <c r="F778" s="51"/>
    </row>
    <row r="779" spans="2:6">
      <c r="B779" s="51"/>
      <c r="C779" s="51"/>
      <c r="D779" s="51"/>
      <c r="F779" s="51"/>
    </row>
    <row r="780" spans="2:6">
      <c r="B780" s="51"/>
      <c r="C780" s="51"/>
      <c r="D780" s="51"/>
      <c r="F780" s="51"/>
    </row>
    <row r="781" spans="2:6">
      <c r="B781" s="51"/>
      <c r="C781" s="51"/>
      <c r="D781" s="51"/>
      <c r="F781" s="51"/>
    </row>
    <row r="782" spans="2:6">
      <c r="B782" s="51"/>
      <c r="C782" s="51"/>
      <c r="D782" s="51"/>
      <c r="F782" s="51"/>
    </row>
    <row r="783" spans="2:6">
      <c r="B783" s="51"/>
      <c r="C783" s="51"/>
      <c r="D783" s="51"/>
      <c r="F783" s="51"/>
    </row>
    <row r="784" spans="2:6">
      <c r="B784" s="51"/>
      <c r="C784" s="51"/>
      <c r="D784" s="51"/>
      <c r="F784" s="51"/>
    </row>
    <row r="785" spans="2:6">
      <c r="B785" s="51"/>
      <c r="C785" s="51"/>
      <c r="D785" s="51"/>
      <c r="F785" s="51"/>
    </row>
    <row r="786" spans="2:6">
      <c r="B786" s="51"/>
      <c r="C786" s="51"/>
      <c r="D786" s="51"/>
      <c r="F786" s="51"/>
    </row>
    <row r="787" spans="2:6">
      <c r="B787" s="51"/>
      <c r="C787" s="51"/>
      <c r="D787" s="51"/>
      <c r="F787" s="51"/>
    </row>
    <row r="788" spans="2:6">
      <c r="B788" s="51"/>
      <c r="C788" s="51"/>
      <c r="D788" s="51"/>
      <c r="F788" s="51"/>
    </row>
    <row r="789" spans="2:6">
      <c r="B789" s="51"/>
      <c r="C789" s="51"/>
      <c r="D789" s="51"/>
      <c r="F789" s="51"/>
    </row>
    <row r="790" spans="2:6">
      <c r="B790" s="51"/>
      <c r="C790" s="51"/>
      <c r="D790" s="51"/>
      <c r="F790" s="51"/>
    </row>
    <row r="791" spans="2:6">
      <c r="B791" s="51"/>
      <c r="C791" s="51"/>
      <c r="D791" s="51"/>
      <c r="F791" s="51"/>
    </row>
    <row r="792" spans="2:6">
      <c r="B792" s="51"/>
      <c r="C792" s="51"/>
      <c r="D792" s="51"/>
      <c r="F792" s="51"/>
    </row>
    <row r="793" spans="2:6">
      <c r="B793" s="51"/>
      <c r="C793" s="51"/>
      <c r="D793" s="51"/>
      <c r="F793" s="51"/>
    </row>
    <row r="794" spans="2:6">
      <c r="B794" s="51"/>
      <c r="C794" s="51"/>
      <c r="D794" s="51"/>
      <c r="F794" s="51"/>
    </row>
    <row r="795" spans="2:6">
      <c r="B795" s="51"/>
      <c r="C795" s="51"/>
      <c r="D795" s="51"/>
      <c r="F795" s="51"/>
    </row>
    <row r="796" spans="2:6">
      <c r="B796" s="51"/>
      <c r="C796" s="51"/>
      <c r="D796" s="51"/>
      <c r="F796" s="51"/>
    </row>
    <row r="797" spans="2:6">
      <c r="B797" s="51"/>
      <c r="C797" s="51"/>
      <c r="D797" s="51"/>
      <c r="F797" s="51"/>
    </row>
    <row r="798" spans="2:6">
      <c r="B798" s="51"/>
      <c r="C798" s="51"/>
      <c r="D798" s="51"/>
      <c r="F798" s="51"/>
    </row>
    <row r="799" spans="2:6">
      <c r="B799" s="51"/>
      <c r="C799" s="51"/>
      <c r="D799" s="51"/>
      <c r="F799" s="51"/>
    </row>
    <row r="800" spans="2:6">
      <c r="B800" s="51"/>
      <c r="C800" s="51"/>
      <c r="D800" s="51"/>
      <c r="F800" s="51"/>
    </row>
    <row r="801" spans="2:6">
      <c r="B801" s="51"/>
      <c r="C801" s="51"/>
      <c r="D801" s="51"/>
      <c r="F801" s="51"/>
    </row>
    <row r="802" spans="2:6">
      <c r="B802" s="51"/>
      <c r="C802" s="51"/>
      <c r="D802" s="51"/>
      <c r="F802" s="51"/>
    </row>
    <row r="803" spans="2:6">
      <c r="B803" s="51"/>
      <c r="C803" s="51"/>
      <c r="D803" s="51"/>
      <c r="F803" s="51"/>
    </row>
    <row r="804" spans="2:6">
      <c r="B804" s="51"/>
      <c r="C804" s="51"/>
      <c r="D804" s="51"/>
      <c r="F804" s="51"/>
    </row>
    <row r="805" spans="2:6">
      <c r="B805" s="51"/>
      <c r="C805" s="51"/>
      <c r="D805" s="51"/>
      <c r="F805" s="51"/>
    </row>
    <row r="806" spans="2:6">
      <c r="B806" s="51"/>
      <c r="C806" s="51"/>
      <c r="D806" s="51"/>
      <c r="F806" s="51"/>
    </row>
    <row r="807" spans="2:6">
      <c r="B807" s="51"/>
      <c r="C807" s="51"/>
      <c r="D807" s="51"/>
      <c r="F807" s="51"/>
    </row>
    <row r="808" spans="2:6">
      <c r="B808" s="51"/>
      <c r="C808" s="51"/>
      <c r="D808" s="51"/>
      <c r="F808" s="51"/>
    </row>
    <row r="809" spans="2:6">
      <c r="B809" s="51"/>
      <c r="C809" s="51"/>
      <c r="D809" s="51"/>
      <c r="F809" s="51"/>
    </row>
    <row r="810" spans="2:6">
      <c r="B810" s="51"/>
      <c r="C810" s="51"/>
      <c r="D810" s="51"/>
      <c r="F810" s="51"/>
    </row>
    <row r="811" spans="2:6">
      <c r="B811" s="51"/>
      <c r="C811" s="51"/>
      <c r="D811" s="51"/>
      <c r="F811" s="51"/>
    </row>
    <row r="812" spans="2:6">
      <c r="B812" s="51"/>
      <c r="C812" s="51"/>
      <c r="D812" s="51"/>
      <c r="F812" s="51"/>
    </row>
    <row r="813" spans="2:6">
      <c r="B813" s="51"/>
      <c r="C813" s="51"/>
      <c r="D813" s="51"/>
      <c r="F813" s="51"/>
    </row>
    <row r="814" spans="2:6">
      <c r="B814" s="51"/>
      <c r="C814" s="51"/>
      <c r="D814" s="51"/>
      <c r="F814" s="51"/>
    </row>
    <row r="815" spans="2:6">
      <c r="B815" s="51"/>
      <c r="C815" s="51"/>
      <c r="D815" s="51"/>
      <c r="F815" s="51"/>
    </row>
    <row r="816" spans="2:6">
      <c r="B816" s="51"/>
      <c r="C816" s="51"/>
      <c r="D816" s="51"/>
      <c r="F816" s="51"/>
    </row>
    <row r="817" spans="2:6">
      <c r="B817" s="51"/>
      <c r="C817" s="51"/>
      <c r="D817" s="51"/>
      <c r="F817" s="51"/>
    </row>
    <row r="818" spans="2:6">
      <c r="B818" s="51"/>
      <c r="C818" s="51"/>
      <c r="D818" s="51"/>
      <c r="F818" s="51"/>
    </row>
    <row r="819" spans="2:6">
      <c r="B819" s="51"/>
      <c r="C819" s="51"/>
      <c r="D819" s="51"/>
      <c r="F819" s="51"/>
    </row>
    <row r="820" spans="2:6">
      <c r="B820" s="51"/>
      <c r="C820" s="51"/>
      <c r="D820" s="51"/>
      <c r="F820" s="51"/>
    </row>
    <row r="821" spans="2:6">
      <c r="B821" s="51"/>
      <c r="C821" s="51"/>
      <c r="D821" s="51"/>
      <c r="F821" s="51"/>
    </row>
    <row r="822" spans="2:6">
      <c r="B822" s="51"/>
      <c r="C822" s="51"/>
      <c r="D822" s="51"/>
      <c r="F822" s="51"/>
    </row>
    <row r="823" spans="2:6">
      <c r="B823" s="51"/>
      <c r="C823" s="51"/>
      <c r="D823" s="51"/>
      <c r="F823" s="51"/>
    </row>
    <row r="824" spans="2:6">
      <c r="B824" s="51"/>
      <c r="C824" s="51"/>
      <c r="D824" s="51"/>
      <c r="F824" s="51"/>
    </row>
    <row r="825" spans="2:6">
      <c r="B825" s="51"/>
      <c r="C825" s="51"/>
      <c r="D825" s="51"/>
      <c r="F825" s="51"/>
    </row>
    <row r="826" spans="2:6">
      <c r="B826" s="51"/>
      <c r="C826" s="51"/>
      <c r="D826" s="51"/>
      <c r="F826" s="51"/>
    </row>
    <row r="827" spans="2:6">
      <c r="B827" s="51"/>
      <c r="C827" s="51"/>
      <c r="D827" s="51"/>
      <c r="F827" s="51"/>
    </row>
    <row r="828" spans="2:6">
      <c r="B828" s="51"/>
      <c r="C828" s="51"/>
      <c r="D828" s="51"/>
      <c r="F828" s="51"/>
    </row>
    <row r="829" spans="2:6">
      <c r="B829" s="51"/>
      <c r="C829" s="51"/>
      <c r="D829" s="51"/>
      <c r="F829" s="51"/>
    </row>
    <row r="830" spans="2:6">
      <c r="B830" s="51"/>
      <c r="C830" s="51"/>
      <c r="D830" s="51"/>
      <c r="F830" s="51"/>
    </row>
    <row r="831" spans="2:6">
      <c r="B831" s="51"/>
      <c r="C831" s="51"/>
      <c r="D831" s="51"/>
      <c r="F831" s="51"/>
    </row>
    <row r="832" spans="2:6">
      <c r="B832" s="51"/>
      <c r="C832" s="51"/>
      <c r="D832" s="51"/>
      <c r="F832" s="51"/>
    </row>
    <row r="833" spans="2:6">
      <c r="B833" s="51"/>
      <c r="C833" s="51"/>
      <c r="D833" s="51"/>
      <c r="F833" s="51"/>
    </row>
    <row r="834" spans="2:6">
      <c r="B834" s="51"/>
      <c r="C834" s="51"/>
      <c r="D834" s="51"/>
      <c r="F834" s="51"/>
    </row>
    <row r="835" spans="2:6">
      <c r="B835" s="51"/>
      <c r="C835" s="51"/>
      <c r="D835" s="51"/>
      <c r="F835" s="51"/>
    </row>
    <row r="836" spans="2:6">
      <c r="B836" s="51"/>
      <c r="C836" s="51"/>
      <c r="D836" s="51"/>
      <c r="F836" s="51"/>
    </row>
    <row r="837" spans="2:6">
      <c r="B837" s="51"/>
      <c r="C837" s="51"/>
      <c r="D837" s="51"/>
      <c r="F837" s="51"/>
    </row>
    <row r="838" spans="2:6">
      <c r="B838" s="51"/>
      <c r="C838" s="51"/>
      <c r="D838" s="51"/>
      <c r="F838" s="51"/>
    </row>
    <row r="839" spans="2:6">
      <c r="B839" s="51"/>
      <c r="C839" s="51"/>
      <c r="D839" s="51"/>
      <c r="F839" s="51"/>
    </row>
    <row r="840" spans="2:6">
      <c r="B840" s="51"/>
      <c r="C840" s="51"/>
      <c r="D840" s="51"/>
      <c r="F840" s="51"/>
    </row>
    <row r="841" spans="2:6">
      <c r="B841" s="51"/>
      <c r="C841" s="51"/>
      <c r="D841" s="51"/>
      <c r="F841" s="51"/>
    </row>
    <row r="842" spans="2:6">
      <c r="B842" s="51"/>
      <c r="C842" s="51"/>
      <c r="D842" s="51"/>
      <c r="F842" s="51"/>
    </row>
    <row r="843" spans="2:6">
      <c r="B843" s="51"/>
      <c r="C843" s="51"/>
      <c r="D843" s="51"/>
      <c r="F843" s="51"/>
    </row>
    <row r="844" spans="2:6">
      <c r="B844" s="51"/>
      <c r="C844" s="51"/>
      <c r="D844" s="51"/>
      <c r="F844" s="51"/>
    </row>
    <row r="845" spans="2:6">
      <c r="B845" s="51"/>
      <c r="C845" s="51"/>
      <c r="D845" s="51"/>
      <c r="F845" s="51"/>
    </row>
    <row r="846" spans="2:6">
      <c r="B846" s="51"/>
      <c r="C846" s="51"/>
      <c r="D846" s="51"/>
      <c r="F846" s="51"/>
    </row>
    <row r="847" spans="2:6">
      <c r="B847" s="51"/>
      <c r="C847" s="51"/>
      <c r="D847" s="51"/>
      <c r="F847" s="51"/>
    </row>
    <row r="848" spans="2:6">
      <c r="B848" s="51"/>
      <c r="C848" s="51"/>
      <c r="D848" s="51"/>
      <c r="F848" s="51"/>
    </row>
    <row r="849" spans="2:6">
      <c r="B849" s="51"/>
      <c r="C849" s="51"/>
      <c r="D849" s="51"/>
      <c r="F849" s="51"/>
    </row>
    <row r="850" spans="2:6">
      <c r="B850" s="51"/>
      <c r="C850" s="51"/>
      <c r="D850" s="51"/>
      <c r="F850" s="51"/>
    </row>
    <row r="851" spans="2:6">
      <c r="B851" s="51"/>
      <c r="C851" s="51"/>
      <c r="D851" s="51"/>
      <c r="F851" s="51"/>
    </row>
    <row r="852" spans="2:6">
      <c r="B852" s="51"/>
      <c r="C852" s="51"/>
      <c r="D852" s="51"/>
      <c r="F852" s="51"/>
    </row>
    <row r="853" spans="2:6">
      <c r="B853" s="51"/>
      <c r="C853" s="51"/>
      <c r="D853" s="51"/>
      <c r="F853" s="51"/>
    </row>
    <row r="854" spans="2:6">
      <c r="B854" s="51"/>
      <c r="C854" s="51"/>
      <c r="D854" s="51"/>
      <c r="F854" s="51"/>
    </row>
    <row r="855" spans="2:6">
      <c r="B855" s="51"/>
      <c r="C855" s="51"/>
      <c r="D855" s="51"/>
      <c r="F855" s="51"/>
    </row>
    <row r="856" spans="2:6">
      <c r="B856" s="51"/>
      <c r="C856" s="51"/>
      <c r="D856" s="51"/>
      <c r="F856" s="51"/>
    </row>
    <row r="857" spans="2:6">
      <c r="B857" s="51"/>
      <c r="C857" s="51"/>
      <c r="D857" s="51"/>
      <c r="F857" s="51"/>
    </row>
    <row r="858" spans="2:6">
      <c r="B858" s="51"/>
      <c r="C858" s="51"/>
      <c r="D858" s="51"/>
      <c r="F858" s="51"/>
    </row>
    <row r="859" spans="2:6">
      <c r="B859" s="51"/>
      <c r="C859" s="51"/>
      <c r="D859" s="51"/>
      <c r="F859" s="51"/>
    </row>
    <row r="860" spans="2:6">
      <c r="B860" s="51"/>
      <c r="C860" s="51"/>
      <c r="D860" s="51"/>
      <c r="F860" s="51"/>
    </row>
    <row r="861" spans="2:6">
      <c r="B861" s="51"/>
      <c r="C861" s="51"/>
      <c r="D861" s="51"/>
      <c r="F861" s="51"/>
    </row>
    <row r="862" spans="2:6">
      <c r="B862" s="51"/>
      <c r="C862" s="51"/>
      <c r="D862" s="51"/>
      <c r="F862" s="51"/>
    </row>
    <row r="863" spans="2:6">
      <c r="B863" s="51"/>
      <c r="C863" s="51"/>
      <c r="D863" s="51"/>
      <c r="F863" s="51"/>
    </row>
    <row r="864" spans="2:6">
      <c r="B864" s="51"/>
      <c r="C864" s="51"/>
      <c r="D864" s="51"/>
      <c r="F864" s="51"/>
    </row>
    <row r="865" spans="2:6">
      <c r="B865" s="51"/>
      <c r="C865" s="51"/>
      <c r="D865" s="51"/>
      <c r="F865" s="51"/>
    </row>
    <row r="866" spans="2:6">
      <c r="B866" s="51"/>
      <c r="C866" s="51"/>
      <c r="D866" s="51"/>
      <c r="F866" s="51"/>
    </row>
    <row r="867" spans="2:6">
      <c r="B867" s="51"/>
      <c r="C867" s="51"/>
      <c r="D867" s="51"/>
      <c r="F867" s="51"/>
    </row>
    <row r="868" spans="2:6">
      <c r="B868" s="51"/>
      <c r="C868" s="51"/>
      <c r="D868" s="51"/>
      <c r="F868" s="51"/>
    </row>
    <row r="869" spans="2:6">
      <c r="B869" s="51"/>
      <c r="C869" s="51"/>
      <c r="D869" s="51"/>
      <c r="F869" s="51"/>
    </row>
    <row r="870" spans="2:6">
      <c r="B870" s="51"/>
      <c r="C870" s="51"/>
      <c r="D870" s="51"/>
      <c r="F870" s="51"/>
    </row>
    <row r="871" spans="2:6">
      <c r="B871" s="51"/>
      <c r="C871" s="51"/>
      <c r="D871" s="51"/>
      <c r="F871" s="51"/>
    </row>
    <row r="872" spans="2:6">
      <c r="B872" s="51"/>
      <c r="C872" s="51"/>
      <c r="D872" s="51"/>
      <c r="F872" s="51"/>
    </row>
    <row r="873" spans="2:6">
      <c r="B873" s="51"/>
      <c r="C873" s="51"/>
      <c r="D873" s="51"/>
      <c r="F873" s="51"/>
    </row>
    <row r="874" spans="2:6">
      <c r="B874" s="51"/>
      <c r="C874" s="51"/>
      <c r="D874" s="51"/>
      <c r="F874" s="51"/>
    </row>
    <row r="875" spans="2:6">
      <c r="B875" s="51"/>
      <c r="C875" s="51"/>
      <c r="D875" s="51"/>
      <c r="F875" s="51"/>
    </row>
    <row r="876" spans="2:6">
      <c r="B876" s="51"/>
      <c r="C876" s="51"/>
      <c r="D876" s="51"/>
      <c r="F876" s="51"/>
    </row>
    <row r="877" spans="2:6">
      <c r="B877" s="51"/>
      <c r="C877" s="51"/>
      <c r="D877" s="51"/>
      <c r="F877" s="51"/>
    </row>
    <row r="878" spans="2:6">
      <c r="B878" s="51"/>
      <c r="C878" s="51"/>
      <c r="D878" s="51"/>
      <c r="F878" s="51"/>
    </row>
    <row r="879" spans="2:6">
      <c r="B879" s="51"/>
      <c r="C879" s="51"/>
      <c r="D879" s="51"/>
      <c r="F879" s="51"/>
    </row>
    <row r="880" spans="2:6">
      <c r="B880" s="51"/>
      <c r="C880" s="51"/>
      <c r="D880" s="51"/>
      <c r="F880" s="51"/>
    </row>
    <row r="881" spans="2:6">
      <c r="B881" s="51"/>
      <c r="C881" s="51"/>
      <c r="D881" s="51"/>
      <c r="F881" s="51"/>
    </row>
    <row r="882" spans="2:6">
      <c r="B882" s="51"/>
      <c r="C882" s="51"/>
      <c r="D882" s="51"/>
      <c r="F882" s="51"/>
    </row>
    <row r="883" spans="2:6">
      <c r="B883" s="51"/>
      <c r="C883" s="51"/>
      <c r="D883" s="51"/>
      <c r="F883" s="51"/>
    </row>
    <row r="884" spans="2:6">
      <c r="B884" s="51"/>
      <c r="C884" s="51"/>
      <c r="D884" s="51"/>
      <c r="F884" s="51"/>
    </row>
    <row r="885" spans="2:6">
      <c r="B885" s="51"/>
      <c r="C885" s="51"/>
      <c r="D885" s="51"/>
      <c r="F885" s="51"/>
    </row>
    <row r="886" spans="2:6">
      <c r="B886" s="51"/>
      <c r="C886" s="51"/>
      <c r="D886" s="51"/>
      <c r="F886" s="51"/>
    </row>
    <row r="887" spans="2:6">
      <c r="B887" s="51"/>
      <c r="C887" s="51"/>
      <c r="D887" s="51"/>
      <c r="F887" s="51"/>
    </row>
    <row r="888" spans="2:6">
      <c r="B888" s="51"/>
      <c r="C888" s="51"/>
      <c r="D888" s="51"/>
      <c r="F888" s="51"/>
    </row>
    <row r="889" spans="2:6">
      <c r="B889" s="51"/>
      <c r="C889" s="51"/>
      <c r="D889" s="51"/>
      <c r="F889" s="51"/>
    </row>
    <row r="890" spans="2:6">
      <c r="B890" s="51"/>
      <c r="C890" s="51"/>
      <c r="D890" s="51"/>
      <c r="F890" s="51"/>
    </row>
    <row r="891" spans="2:6">
      <c r="B891" s="51"/>
      <c r="C891" s="51"/>
      <c r="D891" s="51"/>
      <c r="F891" s="51"/>
    </row>
    <row r="892" spans="2:6">
      <c r="B892" s="51"/>
      <c r="C892" s="51"/>
      <c r="D892" s="51"/>
      <c r="F892" s="51"/>
    </row>
    <row r="893" spans="2:6">
      <c r="B893" s="51"/>
      <c r="C893" s="51"/>
      <c r="D893" s="51"/>
      <c r="F893" s="51"/>
    </row>
    <row r="894" spans="2:6">
      <c r="B894" s="51"/>
      <c r="C894" s="51"/>
      <c r="D894" s="51"/>
      <c r="F894" s="51"/>
    </row>
    <row r="895" spans="2:6">
      <c r="B895" s="51"/>
      <c r="C895" s="51"/>
      <c r="D895" s="51"/>
      <c r="F895" s="51"/>
    </row>
    <row r="896" spans="2:6">
      <c r="B896" s="51"/>
      <c r="C896" s="51"/>
      <c r="D896" s="51"/>
      <c r="F896" s="51"/>
    </row>
    <row r="897" spans="2:6">
      <c r="B897" s="51"/>
      <c r="C897" s="51"/>
      <c r="D897" s="51"/>
      <c r="F897" s="51"/>
    </row>
    <row r="898" spans="2:6">
      <c r="B898" s="51"/>
      <c r="C898" s="51"/>
      <c r="D898" s="51"/>
      <c r="F898" s="51"/>
    </row>
    <row r="899" spans="2:6">
      <c r="B899" s="51"/>
      <c r="C899" s="51"/>
      <c r="D899" s="51"/>
      <c r="F899" s="51"/>
    </row>
    <row r="900" spans="2:6">
      <c r="B900" s="51"/>
      <c r="C900" s="51"/>
      <c r="D900" s="51"/>
      <c r="F900" s="51"/>
    </row>
    <row r="901" spans="2:6">
      <c r="B901" s="51"/>
      <c r="C901" s="51"/>
      <c r="D901" s="51"/>
      <c r="F901" s="51"/>
    </row>
    <row r="902" spans="2:6">
      <c r="B902" s="51"/>
      <c r="C902" s="51"/>
      <c r="D902" s="51"/>
      <c r="F902" s="51"/>
    </row>
    <row r="903" spans="2:6">
      <c r="B903" s="51"/>
      <c r="C903" s="51"/>
      <c r="D903" s="51"/>
      <c r="F903" s="51"/>
    </row>
    <row r="904" spans="2:6">
      <c r="B904" s="51"/>
      <c r="C904" s="51"/>
      <c r="D904" s="51"/>
      <c r="F904" s="51"/>
    </row>
    <row r="905" spans="2:6">
      <c r="B905" s="51"/>
      <c r="C905" s="51"/>
      <c r="D905" s="51"/>
      <c r="F905" s="51"/>
    </row>
    <row r="906" spans="2:6">
      <c r="B906" s="51"/>
      <c r="C906" s="51"/>
      <c r="D906" s="51"/>
      <c r="F906" s="51"/>
    </row>
    <row r="907" spans="2:6">
      <c r="B907" s="51"/>
      <c r="C907" s="51"/>
      <c r="D907" s="51"/>
      <c r="F907" s="51"/>
    </row>
    <row r="908" spans="2:6">
      <c r="B908" s="51"/>
      <c r="C908" s="51"/>
      <c r="D908" s="51"/>
      <c r="F908" s="51"/>
    </row>
    <row r="909" spans="2:6">
      <c r="B909" s="51"/>
      <c r="C909" s="51"/>
      <c r="D909" s="51"/>
      <c r="F909" s="51"/>
    </row>
    <row r="910" spans="2:6">
      <c r="B910" s="51"/>
      <c r="C910" s="51"/>
      <c r="D910" s="51"/>
      <c r="F910" s="51"/>
    </row>
    <row r="911" spans="2:6">
      <c r="B911" s="51"/>
      <c r="C911" s="51"/>
      <c r="D911" s="51"/>
      <c r="F911" s="51"/>
    </row>
    <row r="912" spans="2:6">
      <c r="B912" s="51"/>
      <c r="C912" s="51"/>
      <c r="D912" s="51"/>
      <c r="F912" s="51"/>
    </row>
    <row r="913" spans="2:6">
      <c r="B913" s="51"/>
      <c r="C913" s="51"/>
      <c r="D913" s="51"/>
      <c r="F913" s="51"/>
    </row>
    <row r="914" spans="2:6">
      <c r="B914" s="51"/>
      <c r="C914" s="51"/>
      <c r="D914" s="51"/>
      <c r="F914" s="51"/>
    </row>
    <row r="915" spans="2:6">
      <c r="B915" s="51"/>
      <c r="C915" s="51"/>
      <c r="D915" s="51"/>
      <c r="F915" s="51"/>
    </row>
    <row r="916" spans="2:6">
      <c r="B916" s="51"/>
      <c r="C916" s="51"/>
      <c r="D916" s="51"/>
      <c r="F916" s="51"/>
    </row>
    <row r="917" spans="2:6">
      <c r="B917" s="51"/>
      <c r="C917" s="51"/>
      <c r="D917" s="51"/>
      <c r="F917" s="51"/>
    </row>
    <row r="918" spans="2:6">
      <c r="B918" s="51"/>
      <c r="C918" s="51"/>
      <c r="D918" s="51"/>
      <c r="F918" s="51"/>
    </row>
    <row r="919" spans="2:6">
      <c r="B919" s="51"/>
      <c r="C919" s="51"/>
      <c r="D919" s="51"/>
      <c r="F919" s="51"/>
    </row>
    <row r="920" spans="2:6">
      <c r="B920" s="51"/>
      <c r="C920" s="51"/>
      <c r="D920" s="51"/>
      <c r="F920" s="51"/>
    </row>
    <row r="921" spans="2:6">
      <c r="B921" s="51"/>
      <c r="C921" s="51"/>
      <c r="D921" s="51"/>
      <c r="F921" s="51"/>
    </row>
    <row r="922" spans="2:6">
      <c r="B922" s="51"/>
      <c r="C922" s="51"/>
      <c r="D922" s="51"/>
      <c r="F922" s="51"/>
    </row>
    <row r="923" spans="2:6">
      <c r="B923" s="51"/>
      <c r="C923" s="51"/>
      <c r="D923" s="51"/>
      <c r="F923" s="51"/>
    </row>
    <row r="924" spans="2:6">
      <c r="B924" s="51"/>
      <c r="C924" s="51"/>
      <c r="D924" s="51"/>
      <c r="F924" s="51"/>
    </row>
    <row r="925" spans="2:6">
      <c r="B925" s="51"/>
      <c r="C925" s="51"/>
      <c r="D925" s="51"/>
      <c r="F925" s="51"/>
    </row>
    <row r="926" spans="2:6">
      <c r="B926" s="51"/>
      <c r="C926" s="51"/>
      <c r="D926" s="51"/>
      <c r="F926" s="51"/>
    </row>
    <row r="927" spans="2:6">
      <c r="B927" s="51"/>
      <c r="C927" s="51"/>
      <c r="D927" s="51"/>
      <c r="F927" s="51"/>
    </row>
    <row r="928" spans="2:6">
      <c r="B928" s="51"/>
      <c r="C928" s="51"/>
      <c r="D928" s="51"/>
      <c r="F928" s="51"/>
    </row>
    <row r="929" spans="2:6">
      <c r="B929" s="51"/>
      <c r="C929" s="51"/>
      <c r="D929" s="51"/>
      <c r="F929" s="51"/>
    </row>
    <row r="930" spans="2:6">
      <c r="B930" s="51"/>
      <c r="C930" s="51"/>
      <c r="D930" s="51"/>
      <c r="F930" s="51"/>
    </row>
    <row r="931" spans="2:6">
      <c r="B931" s="51"/>
      <c r="C931" s="51"/>
      <c r="D931" s="51"/>
      <c r="F931" s="51"/>
    </row>
    <row r="932" spans="2:6">
      <c r="B932" s="51"/>
      <c r="C932" s="51"/>
      <c r="D932" s="51"/>
      <c r="F932" s="51"/>
    </row>
    <row r="933" spans="2:6">
      <c r="B933" s="51"/>
      <c r="C933" s="51"/>
      <c r="D933" s="51"/>
      <c r="F933" s="51"/>
    </row>
    <row r="934" spans="2:6">
      <c r="B934" s="51"/>
      <c r="C934" s="51"/>
      <c r="D934" s="51"/>
      <c r="F934" s="51"/>
    </row>
    <row r="935" spans="2:6">
      <c r="B935" s="51"/>
      <c r="C935" s="51"/>
      <c r="D935" s="51"/>
      <c r="F935" s="51"/>
    </row>
    <row r="936" spans="2:6">
      <c r="B936" s="51"/>
      <c r="C936" s="51"/>
      <c r="D936" s="51"/>
      <c r="F936" s="51"/>
    </row>
    <row r="937" spans="2:6">
      <c r="B937" s="51"/>
      <c r="C937" s="51"/>
      <c r="D937" s="51"/>
      <c r="F937" s="51"/>
    </row>
    <row r="938" spans="2:6">
      <c r="B938" s="51"/>
      <c r="C938" s="51"/>
      <c r="D938" s="51"/>
      <c r="F938" s="51"/>
    </row>
    <row r="939" spans="2:6">
      <c r="B939" s="51"/>
      <c r="C939" s="51"/>
      <c r="D939" s="51"/>
      <c r="F939" s="51"/>
    </row>
    <row r="940" spans="2:6">
      <c r="B940" s="51"/>
      <c r="C940" s="51"/>
      <c r="D940" s="51"/>
      <c r="F940" s="51"/>
    </row>
    <row r="941" spans="2:6">
      <c r="B941" s="51"/>
      <c r="C941" s="51"/>
      <c r="D941" s="51"/>
      <c r="F941" s="51"/>
    </row>
    <row r="942" spans="2:6">
      <c r="B942" s="51"/>
      <c r="C942" s="51"/>
      <c r="D942" s="51"/>
      <c r="F942" s="51"/>
    </row>
    <row r="943" spans="2:6">
      <c r="B943" s="51"/>
      <c r="C943" s="51"/>
      <c r="D943" s="51"/>
      <c r="F943" s="51"/>
    </row>
    <row r="944" spans="2:6">
      <c r="B944" s="51"/>
      <c r="C944" s="51"/>
      <c r="D944" s="51"/>
      <c r="F944" s="51"/>
    </row>
    <row r="945" spans="2:6">
      <c r="B945" s="51"/>
      <c r="C945" s="51"/>
      <c r="D945" s="51"/>
      <c r="F945" s="51"/>
    </row>
    <row r="946" spans="2:6">
      <c r="B946" s="51"/>
      <c r="C946" s="51"/>
      <c r="D946" s="51"/>
      <c r="F946" s="51"/>
    </row>
    <row r="947" spans="2:6">
      <c r="B947" s="51"/>
      <c r="C947" s="51"/>
      <c r="D947" s="51"/>
      <c r="F947" s="51"/>
    </row>
    <row r="948" spans="2:6">
      <c r="B948" s="51"/>
      <c r="C948" s="51"/>
      <c r="D948" s="51"/>
      <c r="F948" s="51"/>
    </row>
    <row r="949" spans="2:6">
      <c r="B949" s="51"/>
      <c r="C949" s="51"/>
      <c r="D949" s="51"/>
      <c r="F949" s="51"/>
    </row>
    <row r="950" spans="2:6">
      <c r="B950" s="51"/>
      <c r="C950" s="51"/>
      <c r="D950" s="51"/>
      <c r="F950" s="51"/>
    </row>
    <row r="951" spans="2:6">
      <c r="B951" s="51"/>
      <c r="C951" s="51"/>
      <c r="D951" s="51"/>
      <c r="F951" s="51"/>
    </row>
    <row r="952" spans="2:6">
      <c r="B952" s="51"/>
      <c r="C952" s="51"/>
      <c r="D952" s="51"/>
      <c r="F952" s="51"/>
    </row>
    <row r="953" spans="2:6">
      <c r="B953" s="51"/>
      <c r="C953" s="51"/>
      <c r="D953" s="51"/>
      <c r="F953" s="51"/>
    </row>
    <row r="954" spans="2:6">
      <c r="B954" s="51"/>
      <c r="C954" s="51"/>
      <c r="D954" s="51"/>
      <c r="F954" s="51"/>
    </row>
    <row r="955" spans="2:6">
      <c r="B955" s="51"/>
      <c r="C955" s="51"/>
      <c r="D955" s="51"/>
      <c r="F955" s="51"/>
    </row>
    <row r="956" spans="2:6">
      <c r="B956" s="51"/>
      <c r="C956" s="51"/>
      <c r="D956" s="51"/>
      <c r="F956" s="51"/>
    </row>
    <row r="957" spans="2:6">
      <c r="B957" s="51"/>
      <c r="C957" s="51"/>
      <c r="D957" s="51"/>
      <c r="F957" s="51"/>
    </row>
    <row r="958" spans="2:6">
      <c r="B958" s="51"/>
      <c r="C958" s="51"/>
      <c r="D958" s="51"/>
      <c r="F958" s="51"/>
    </row>
    <row r="959" spans="2:6">
      <c r="B959" s="51"/>
      <c r="C959" s="51"/>
      <c r="D959" s="51"/>
      <c r="F959" s="51"/>
    </row>
    <row r="960" spans="2:6">
      <c r="B960" s="51"/>
      <c r="C960" s="51"/>
      <c r="D960" s="51"/>
      <c r="F960" s="51"/>
    </row>
    <row r="961" spans="2:6">
      <c r="B961" s="51"/>
      <c r="C961" s="51"/>
      <c r="D961" s="51"/>
      <c r="F961" s="51"/>
    </row>
    <row r="962" spans="2:6">
      <c r="B962" s="51"/>
      <c r="C962" s="51"/>
      <c r="D962" s="51"/>
      <c r="F962" s="51"/>
    </row>
    <row r="963" spans="2:6">
      <c r="B963" s="51"/>
      <c r="C963" s="51"/>
      <c r="D963" s="51"/>
      <c r="F963" s="51"/>
    </row>
    <row r="964" spans="2:6">
      <c r="B964" s="51"/>
      <c r="C964" s="51"/>
      <c r="D964" s="51"/>
      <c r="F964" s="51"/>
    </row>
    <row r="965" spans="2:6">
      <c r="B965" s="51"/>
      <c r="C965" s="51"/>
      <c r="D965" s="51"/>
      <c r="F965" s="51"/>
    </row>
    <row r="966" spans="2:6">
      <c r="B966" s="51"/>
      <c r="C966" s="51"/>
      <c r="D966" s="51"/>
      <c r="F966" s="51"/>
    </row>
    <row r="967" spans="2:6">
      <c r="B967" s="51"/>
      <c r="C967" s="51"/>
      <c r="D967" s="51"/>
      <c r="F967" s="51"/>
    </row>
    <row r="968" spans="2:6">
      <c r="B968" s="51"/>
      <c r="C968" s="51"/>
      <c r="D968" s="51"/>
      <c r="F968" s="51"/>
    </row>
    <row r="969" spans="2:6">
      <c r="B969" s="51"/>
      <c r="C969" s="51"/>
      <c r="D969" s="51"/>
      <c r="F969" s="51"/>
    </row>
    <row r="970" spans="2:6">
      <c r="B970" s="51"/>
      <c r="C970" s="51"/>
      <c r="D970" s="51"/>
      <c r="F970" s="51"/>
    </row>
    <row r="971" spans="2:6">
      <c r="B971" s="51"/>
      <c r="C971" s="51"/>
      <c r="D971" s="51"/>
      <c r="F971" s="51"/>
    </row>
    <row r="972" spans="2:6">
      <c r="B972" s="51"/>
      <c r="C972" s="51"/>
      <c r="D972" s="51"/>
      <c r="F972" s="51"/>
    </row>
    <row r="973" spans="2:6">
      <c r="B973" s="51"/>
      <c r="C973" s="51"/>
      <c r="D973" s="51"/>
      <c r="F973" s="51"/>
    </row>
    <row r="974" spans="2:6">
      <c r="B974" s="51"/>
      <c r="C974" s="51"/>
      <c r="D974" s="51"/>
      <c r="F974" s="51"/>
    </row>
    <row r="975" spans="2:6">
      <c r="B975" s="51"/>
      <c r="C975" s="51"/>
      <c r="D975" s="51"/>
      <c r="F975" s="51"/>
    </row>
    <row r="976" spans="2:6">
      <c r="B976" s="51"/>
      <c r="C976" s="51"/>
      <c r="D976" s="51"/>
      <c r="F976" s="51"/>
    </row>
    <row r="977" spans="2:6">
      <c r="B977" s="51"/>
      <c r="C977" s="51"/>
      <c r="D977" s="51"/>
      <c r="F977" s="51"/>
    </row>
    <row r="978" spans="2:6">
      <c r="B978" s="51"/>
      <c r="C978" s="51"/>
      <c r="D978" s="51"/>
      <c r="F978" s="51"/>
    </row>
    <row r="979" spans="2:6">
      <c r="B979" s="51"/>
      <c r="C979" s="51"/>
      <c r="D979" s="51"/>
      <c r="F979" s="51"/>
    </row>
    <row r="980" spans="2:6">
      <c r="B980" s="51"/>
      <c r="C980" s="51"/>
      <c r="D980" s="51"/>
      <c r="F980" s="51"/>
    </row>
    <row r="981" spans="2:6">
      <c r="B981" s="51"/>
      <c r="C981" s="51"/>
      <c r="D981" s="51"/>
      <c r="F981" s="51"/>
    </row>
    <row r="982" spans="2:6">
      <c r="B982" s="51"/>
      <c r="C982" s="51"/>
      <c r="D982" s="51"/>
      <c r="F982" s="51"/>
    </row>
    <row r="983" spans="2:6">
      <c r="B983" s="51"/>
      <c r="C983" s="51"/>
      <c r="D983" s="51"/>
      <c r="F983" s="51"/>
    </row>
    <row r="984" spans="2:6">
      <c r="B984" s="51"/>
      <c r="C984" s="51"/>
      <c r="D984" s="51"/>
      <c r="F984" s="51"/>
    </row>
    <row r="985" spans="2:6">
      <c r="B985" s="51"/>
      <c r="C985" s="51"/>
      <c r="D985" s="51"/>
      <c r="F985" s="51"/>
    </row>
    <row r="986" spans="2:6">
      <c r="B986" s="51"/>
      <c r="C986" s="51"/>
      <c r="D986" s="51"/>
      <c r="F986" s="51"/>
    </row>
    <row r="987" spans="2:6">
      <c r="B987" s="51"/>
      <c r="C987" s="51"/>
      <c r="D987" s="51"/>
      <c r="F987" s="51"/>
    </row>
    <row r="988" spans="2:6">
      <c r="B988" s="51"/>
      <c r="C988" s="51"/>
      <c r="D988" s="51"/>
      <c r="F988" s="51"/>
    </row>
    <row r="989" spans="2:6">
      <c r="B989" s="51"/>
      <c r="C989" s="51"/>
      <c r="D989" s="51"/>
      <c r="F989" s="51"/>
    </row>
    <row r="990" spans="2:6">
      <c r="B990" s="51"/>
      <c r="C990" s="51"/>
      <c r="D990" s="51"/>
      <c r="F990" s="51"/>
    </row>
    <row r="991" spans="2:6">
      <c r="B991" s="51"/>
      <c r="C991" s="51"/>
      <c r="D991" s="51"/>
      <c r="F991" s="51"/>
    </row>
    <row r="992" spans="2:6">
      <c r="B992" s="51"/>
      <c r="C992" s="51"/>
      <c r="D992" s="51"/>
      <c r="F992" s="51"/>
    </row>
    <row r="993" spans="2:6">
      <c r="B993" s="51"/>
      <c r="C993" s="51"/>
      <c r="D993" s="51"/>
      <c r="F993" s="51"/>
    </row>
    <row r="994" spans="2:6">
      <c r="B994" s="51"/>
      <c r="C994" s="51"/>
      <c r="D994" s="51"/>
      <c r="F994" s="51"/>
    </row>
    <row r="995" spans="2:6">
      <c r="B995" s="51"/>
      <c r="C995" s="51"/>
      <c r="D995" s="51"/>
      <c r="F995" s="51"/>
    </row>
    <row r="996" spans="2:6">
      <c r="B996" s="51"/>
      <c r="C996" s="51"/>
      <c r="D996" s="51"/>
      <c r="F996" s="51"/>
    </row>
    <row r="997" spans="2:6">
      <c r="B997" s="51"/>
      <c r="C997" s="51"/>
      <c r="D997" s="51"/>
      <c r="F997" s="51"/>
    </row>
    <row r="998" spans="2:6">
      <c r="B998" s="51"/>
      <c r="C998" s="51"/>
      <c r="D998" s="51"/>
      <c r="F998" s="51"/>
    </row>
    <row r="999" spans="2:6">
      <c r="B999" s="51"/>
      <c r="C999" s="51"/>
      <c r="D999" s="51"/>
      <c r="F999" s="51"/>
    </row>
    <row r="1000" spans="2:6">
      <c r="B1000" s="51"/>
      <c r="C1000" s="51"/>
      <c r="D1000" s="51"/>
      <c r="F1000" s="51"/>
    </row>
    <row r="1001" spans="2:6">
      <c r="B1001" s="51"/>
      <c r="C1001" s="51"/>
      <c r="D1001" s="51"/>
      <c r="F1001" s="51"/>
    </row>
    <row r="1002" spans="2:6">
      <c r="B1002" s="51"/>
      <c r="C1002" s="51"/>
      <c r="D1002" s="51"/>
      <c r="F1002" s="51"/>
    </row>
    <row r="1003" spans="2:6">
      <c r="B1003" s="51"/>
      <c r="C1003" s="51"/>
      <c r="D1003" s="51"/>
      <c r="F1003" s="51"/>
    </row>
    <row r="1004" spans="2:6">
      <c r="B1004" s="51"/>
      <c r="C1004" s="51"/>
      <c r="D1004" s="51"/>
      <c r="F1004" s="51"/>
    </row>
    <row r="1005" spans="2:6">
      <c r="B1005" s="51"/>
      <c r="C1005" s="51"/>
      <c r="D1005" s="51"/>
      <c r="F1005" s="51"/>
    </row>
    <row r="1006" spans="2:6">
      <c r="B1006" s="51"/>
      <c r="C1006" s="51"/>
      <c r="D1006" s="51"/>
      <c r="F1006" s="51"/>
    </row>
    <row r="1007" spans="2:6">
      <c r="B1007" s="51"/>
      <c r="C1007" s="51"/>
      <c r="D1007" s="51"/>
      <c r="F1007" s="51"/>
    </row>
    <row r="1008" spans="2:6">
      <c r="B1008" s="51"/>
      <c r="C1008" s="51"/>
      <c r="D1008" s="51"/>
      <c r="F1008" s="51"/>
    </row>
    <row r="1009" spans="2:6">
      <c r="B1009" s="51"/>
      <c r="C1009" s="51"/>
      <c r="D1009" s="51"/>
      <c r="F1009" s="51"/>
    </row>
    <row r="1010" spans="2:6">
      <c r="B1010" s="51"/>
      <c r="C1010" s="51"/>
      <c r="D1010" s="51"/>
      <c r="F1010" s="51"/>
    </row>
    <row r="1011" spans="2:6">
      <c r="B1011" s="51"/>
      <c r="C1011" s="51"/>
      <c r="D1011" s="51"/>
      <c r="F1011" s="51"/>
    </row>
    <row r="1012" spans="2:6">
      <c r="B1012" s="51"/>
      <c r="C1012" s="51"/>
      <c r="D1012" s="51"/>
      <c r="F1012" s="51"/>
    </row>
    <row r="1013" spans="2:6">
      <c r="B1013" s="51"/>
      <c r="C1013" s="51"/>
      <c r="D1013" s="51"/>
      <c r="F1013" s="51"/>
    </row>
    <row r="1014" spans="2:6">
      <c r="B1014" s="51"/>
      <c r="C1014" s="51"/>
      <c r="D1014" s="51"/>
      <c r="F1014" s="51"/>
    </row>
    <row r="1015" spans="2:6">
      <c r="B1015" s="51"/>
      <c r="C1015" s="51"/>
      <c r="D1015" s="51"/>
      <c r="F1015" s="51"/>
    </row>
    <row r="1016" spans="2:6">
      <c r="B1016" s="51"/>
      <c r="C1016" s="51"/>
      <c r="D1016" s="51"/>
      <c r="F1016" s="51"/>
    </row>
    <row r="1017" spans="2:6">
      <c r="B1017" s="51"/>
      <c r="C1017" s="51"/>
      <c r="D1017" s="51"/>
      <c r="F1017" s="51"/>
    </row>
    <row r="1018" spans="2:6">
      <c r="B1018" s="51"/>
      <c r="C1018" s="51"/>
      <c r="D1018" s="51"/>
      <c r="F1018" s="51"/>
    </row>
    <row r="1019" spans="2:6">
      <c r="B1019" s="51"/>
      <c r="C1019" s="51"/>
      <c r="D1019" s="51"/>
      <c r="F1019" s="51"/>
    </row>
    <row r="1020" spans="2:6">
      <c r="B1020" s="51"/>
      <c r="C1020" s="51"/>
      <c r="D1020" s="51"/>
      <c r="F1020" s="51"/>
    </row>
    <row r="1021" spans="2:6">
      <c r="B1021" s="51"/>
      <c r="C1021" s="51"/>
      <c r="D1021" s="51"/>
      <c r="F1021" s="51"/>
    </row>
    <row r="1022" spans="2:6">
      <c r="B1022" s="51"/>
      <c r="C1022" s="51"/>
      <c r="D1022" s="51"/>
      <c r="F1022" s="51"/>
    </row>
    <row r="1023" spans="2:6">
      <c r="B1023" s="51"/>
      <c r="C1023" s="51"/>
      <c r="D1023" s="51"/>
      <c r="F1023" s="51"/>
    </row>
    <row r="1024" spans="2:6">
      <c r="B1024" s="51"/>
      <c r="C1024" s="51"/>
      <c r="D1024" s="51"/>
      <c r="F1024" s="51"/>
    </row>
    <row r="1025" spans="2:6">
      <c r="B1025" s="51"/>
      <c r="C1025" s="51"/>
      <c r="D1025" s="51"/>
      <c r="F1025" s="51"/>
    </row>
    <row r="1026" spans="2:6">
      <c r="B1026" s="51"/>
      <c r="C1026" s="51"/>
      <c r="D1026" s="51"/>
      <c r="F1026" s="51"/>
    </row>
    <row r="1027" spans="2:6">
      <c r="B1027" s="51"/>
      <c r="C1027" s="51"/>
      <c r="D1027" s="51"/>
      <c r="F1027" s="51"/>
    </row>
    <row r="1028" spans="2:6">
      <c r="B1028" s="51"/>
      <c r="C1028" s="51"/>
      <c r="D1028" s="51"/>
      <c r="F1028" s="51"/>
    </row>
    <row r="1029" spans="2:6">
      <c r="B1029" s="51"/>
      <c r="C1029" s="51"/>
      <c r="D1029" s="51"/>
      <c r="F1029" s="51"/>
    </row>
    <row r="1030" spans="2:6">
      <c r="B1030" s="51"/>
      <c r="C1030" s="51"/>
      <c r="D1030" s="51"/>
      <c r="F1030" s="51"/>
    </row>
    <row r="1031" spans="2:6">
      <c r="B1031" s="51"/>
      <c r="C1031" s="51"/>
      <c r="D1031" s="51"/>
      <c r="F1031" s="51"/>
    </row>
    <row r="1032" spans="2:6">
      <c r="B1032" s="51"/>
      <c r="C1032" s="51"/>
      <c r="D1032" s="51"/>
      <c r="F1032" s="51"/>
    </row>
    <row r="1033" spans="2:6">
      <c r="B1033" s="51"/>
      <c r="C1033" s="51"/>
      <c r="D1033" s="51"/>
      <c r="F1033" s="51"/>
    </row>
    <row r="1034" spans="2:6">
      <c r="B1034" s="51"/>
      <c r="C1034" s="51"/>
      <c r="D1034" s="51"/>
      <c r="F1034" s="51"/>
    </row>
    <row r="1035" spans="2:6">
      <c r="B1035" s="51"/>
      <c r="C1035" s="51"/>
      <c r="D1035" s="51"/>
      <c r="F1035" s="51"/>
    </row>
    <row r="1036" spans="2:6">
      <c r="B1036" s="51"/>
      <c r="C1036" s="51"/>
      <c r="D1036" s="51"/>
      <c r="F1036" s="51"/>
    </row>
    <row r="1037" spans="2:6">
      <c r="B1037" s="51"/>
      <c r="C1037" s="51"/>
      <c r="D1037" s="51"/>
      <c r="F1037" s="51"/>
    </row>
    <row r="1038" spans="2:6">
      <c r="B1038" s="51"/>
      <c r="C1038" s="51"/>
      <c r="D1038" s="51"/>
      <c r="F1038" s="51"/>
    </row>
    <row r="1039" spans="2:6">
      <c r="B1039" s="51"/>
      <c r="C1039" s="51"/>
      <c r="D1039" s="51"/>
      <c r="F1039" s="51"/>
    </row>
    <row r="1040" spans="2:6">
      <c r="B1040" s="51"/>
      <c r="C1040" s="51"/>
      <c r="D1040" s="51"/>
      <c r="F1040" s="51"/>
    </row>
    <row r="1041" spans="2:6">
      <c r="B1041" s="51"/>
      <c r="C1041" s="51"/>
      <c r="D1041" s="51"/>
      <c r="F1041" s="51"/>
    </row>
    <row r="1042" spans="2:6">
      <c r="B1042" s="51"/>
      <c r="C1042" s="51"/>
      <c r="D1042" s="51"/>
      <c r="F1042" s="51"/>
    </row>
    <row r="1043" spans="2:6">
      <c r="B1043" s="51"/>
      <c r="C1043" s="51"/>
      <c r="D1043" s="51"/>
      <c r="F1043" s="51"/>
    </row>
    <row r="1044" spans="2:6">
      <c r="B1044" s="51"/>
      <c r="C1044" s="51"/>
      <c r="D1044" s="51"/>
      <c r="F1044" s="51"/>
    </row>
    <row r="1045" spans="2:6">
      <c r="B1045" s="51"/>
      <c r="C1045" s="51"/>
      <c r="D1045" s="51"/>
      <c r="F1045" s="51"/>
    </row>
    <row r="1046" spans="2:6">
      <c r="B1046" s="51"/>
      <c r="C1046" s="51"/>
      <c r="D1046" s="51"/>
      <c r="F1046" s="51"/>
    </row>
    <row r="1047" spans="2:6">
      <c r="B1047" s="51"/>
      <c r="C1047" s="51"/>
      <c r="D1047" s="51"/>
      <c r="F1047" s="51"/>
    </row>
    <row r="1048" spans="2:6">
      <c r="B1048" s="51"/>
      <c r="C1048" s="51"/>
      <c r="D1048" s="51"/>
      <c r="F1048" s="51"/>
    </row>
    <row r="1049" spans="2:6">
      <c r="B1049" s="51"/>
      <c r="C1049" s="51"/>
      <c r="D1049" s="51"/>
      <c r="F1049" s="51"/>
    </row>
    <row r="1050" spans="2:6">
      <c r="B1050" s="51"/>
      <c r="C1050" s="51"/>
      <c r="D1050" s="51"/>
      <c r="F1050" s="51"/>
    </row>
    <row r="1051" spans="2:6">
      <c r="B1051" s="51"/>
      <c r="C1051" s="51"/>
      <c r="D1051" s="51"/>
      <c r="F1051" s="51"/>
    </row>
    <row r="1052" spans="2:6">
      <c r="B1052" s="51"/>
      <c r="C1052" s="51"/>
      <c r="D1052" s="51"/>
      <c r="F1052" s="51"/>
    </row>
    <row r="1053" spans="2:6">
      <c r="B1053" s="51"/>
      <c r="C1053" s="51"/>
      <c r="D1053" s="51"/>
      <c r="F1053" s="51"/>
    </row>
    <row r="1054" spans="2:6">
      <c r="B1054" s="51"/>
      <c r="C1054" s="51"/>
      <c r="D1054" s="51"/>
      <c r="F1054" s="51"/>
    </row>
    <row r="1055" spans="2:6">
      <c r="B1055" s="51"/>
      <c r="C1055" s="51"/>
      <c r="D1055" s="51"/>
      <c r="F1055" s="51"/>
    </row>
    <row r="1056" spans="2:6">
      <c r="B1056" s="51"/>
      <c r="C1056" s="51"/>
      <c r="D1056" s="51"/>
      <c r="F1056" s="51"/>
    </row>
    <row r="1057" spans="2:6">
      <c r="B1057" s="51"/>
      <c r="C1057" s="51"/>
      <c r="D1057" s="51"/>
      <c r="F1057" s="51"/>
    </row>
    <row r="1058" spans="2:6">
      <c r="B1058" s="51"/>
      <c r="C1058" s="51"/>
      <c r="D1058" s="51"/>
      <c r="F1058" s="51"/>
    </row>
    <row r="1059" spans="2:6">
      <c r="B1059" s="51"/>
      <c r="C1059" s="51"/>
      <c r="D1059" s="51"/>
      <c r="F1059" s="51"/>
    </row>
    <row r="1060" spans="2:6">
      <c r="B1060" s="51"/>
      <c r="C1060" s="51"/>
      <c r="D1060" s="51"/>
      <c r="F1060" s="51"/>
    </row>
    <row r="1061" spans="2:6">
      <c r="B1061" s="51"/>
      <c r="C1061" s="51"/>
      <c r="D1061" s="51"/>
      <c r="F1061" s="51"/>
    </row>
    <row r="1062" spans="2:6">
      <c r="B1062" s="51"/>
      <c r="C1062" s="51"/>
      <c r="D1062" s="51"/>
      <c r="F1062" s="51"/>
    </row>
    <row r="1063" spans="2:6">
      <c r="B1063" s="51"/>
      <c r="C1063" s="51"/>
      <c r="D1063" s="51"/>
      <c r="F1063" s="51"/>
    </row>
    <row r="1064" spans="2:6">
      <c r="B1064" s="51"/>
      <c r="C1064" s="51"/>
      <c r="D1064" s="51"/>
      <c r="F1064" s="51"/>
    </row>
    <row r="1065" spans="2:6">
      <c r="B1065" s="51"/>
      <c r="C1065" s="51"/>
      <c r="D1065" s="51"/>
      <c r="F1065" s="51"/>
    </row>
    <row r="1066" spans="2:6">
      <c r="B1066" s="51"/>
      <c r="C1066" s="51"/>
      <c r="D1066" s="51"/>
      <c r="F1066" s="51"/>
    </row>
    <row r="1067" spans="2:6">
      <c r="B1067" s="51"/>
      <c r="C1067" s="51"/>
      <c r="D1067" s="51"/>
      <c r="F1067" s="51"/>
    </row>
    <row r="1068" spans="2:6">
      <c r="B1068" s="51"/>
      <c r="C1068" s="51"/>
      <c r="D1068" s="51"/>
      <c r="F1068" s="51"/>
    </row>
    <row r="1069" spans="2:6">
      <c r="B1069" s="51"/>
      <c r="C1069" s="51"/>
      <c r="D1069" s="51"/>
      <c r="F1069" s="51"/>
    </row>
    <row r="1070" spans="2:6">
      <c r="B1070" s="51"/>
      <c r="C1070" s="51"/>
      <c r="D1070" s="51"/>
      <c r="F1070" s="51"/>
    </row>
    <row r="1071" spans="2:6">
      <c r="B1071" s="51"/>
      <c r="C1071" s="51"/>
      <c r="D1071" s="51"/>
      <c r="F1071" s="51"/>
    </row>
    <row r="1072" spans="2:6">
      <c r="B1072" s="51"/>
      <c r="C1072" s="51"/>
      <c r="D1072" s="51"/>
      <c r="F1072" s="51"/>
    </row>
    <row r="1073" spans="2:6">
      <c r="B1073" s="51"/>
      <c r="C1073" s="51"/>
      <c r="D1073" s="51"/>
      <c r="F1073" s="51"/>
    </row>
    <row r="1074" spans="2:6">
      <c r="B1074" s="51"/>
      <c r="C1074" s="51"/>
      <c r="D1074" s="51"/>
      <c r="F1074" s="51"/>
    </row>
    <row r="1075" spans="2:6">
      <c r="B1075" s="51"/>
      <c r="C1075" s="51"/>
      <c r="D1075" s="51"/>
      <c r="F1075" s="51"/>
    </row>
    <row r="1076" spans="2:6">
      <c r="B1076" s="51"/>
      <c r="C1076" s="51"/>
      <c r="D1076" s="51"/>
      <c r="F1076" s="51"/>
    </row>
    <row r="1077" spans="2:6">
      <c r="B1077" s="51"/>
      <c r="C1077" s="51"/>
      <c r="D1077" s="51"/>
      <c r="F1077" s="51"/>
    </row>
    <row r="1078" spans="2:6">
      <c r="B1078" s="51"/>
      <c r="C1078" s="51"/>
      <c r="D1078" s="51"/>
      <c r="F1078" s="51"/>
    </row>
    <row r="1079" spans="2:6">
      <c r="B1079" s="51"/>
      <c r="C1079" s="51"/>
      <c r="D1079" s="51"/>
      <c r="F1079" s="51"/>
    </row>
    <row r="1080" spans="2:6">
      <c r="B1080" s="51"/>
      <c r="C1080" s="51"/>
      <c r="D1080" s="51"/>
      <c r="F1080" s="51"/>
    </row>
    <row r="1081" spans="2:6">
      <c r="B1081" s="51"/>
      <c r="C1081" s="51"/>
      <c r="D1081" s="51"/>
      <c r="F1081" s="51"/>
    </row>
    <row r="1082" spans="2:6">
      <c r="B1082" s="51"/>
      <c r="C1082" s="51"/>
      <c r="D1082" s="51"/>
      <c r="F1082" s="51"/>
    </row>
    <row r="1083" spans="2:6">
      <c r="B1083" s="51"/>
      <c r="C1083" s="51"/>
      <c r="D1083" s="51"/>
      <c r="F1083" s="51"/>
    </row>
    <row r="1084" spans="2:6">
      <c r="B1084" s="51"/>
      <c r="C1084" s="51"/>
      <c r="D1084" s="51"/>
      <c r="F1084" s="51"/>
    </row>
    <row r="1085" spans="2:6">
      <c r="B1085" s="51"/>
      <c r="C1085" s="51"/>
      <c r="D1085" s="51"/>
      <c r="F1085" s="51"/>
    </row>
    <row r="1086" spans="2:6">
      <c r="B1086" s="51"/>
      <c r="C1086" s="51"/>
      <c r="D1086" s="51"/>
      <c r="F1086" s="51"/>
    </row>
    <row r="1087" spans="2:6">
      <c r="B1087" s="51"/>
      <c r="C1087" s="51"/>
      <c r="D1087" s="51"/>
      <c r="F1087" s="51"/>
    </row>
    <row r="1088" spans="2:6">
      <c r="B1088" s="51"/>
      <c r="C1088" s="51"/>
      <c r="D1088" s="51"/>
      <c r="F1088" s="51"/>
    </row>
    <row r="1089" spans="2:6">
      <c r="B1089" s="51"/>
      <c r="C1089" s="51"/>
      <c r="D1089" s="51"/>
      <c r="F1089" s="51"/>
    </row>
    <row r="1090" spans="2:6">
      <c r="B1090" s="51"/>
      <c r="C1090" s="51"/>
      <c r="D1090" s="51"/>
      <c r="F1090" s="51"/>
    </row>
    <row r="1091" spans="2:6">
      <c r="B1091" s="51"/>
      <c r="C1091" s="51"/>
      <c r="D1091" s="51"/>
      <c r="F1091" s="51"/>
    </row>
    <row r="1092" spans="2:6">
      <c r="B1092" s="51"/>
      <c r="C1092" s="51"/>
      <c r="D1092" s="51"/>
      <c r="F1092" s="51"/>
    </row>
    <row r="1093" spans="2:6">
      <c r="B1093" s="51"/>
      <c r="C1093" s="51"/>
      <c r="D1093" s="51"/>
      <c r="F1093" s="51"/>
    </row>
    <row r="1094" spans="2:6">
      <c r="B1094" s="51"/>
      <c r="C1094" s="51"/>
      <c r="D1094" s="51"/>
      <c r="F1094" s="51"/>
    </row>
    <row r="1095" spans="2:6">
      <c r="B1095" s="51"/>
      <c r="C1095" s="51"/>
      <c r="D1095" s="51"/>
      <c r="F1095" s="51"/>
    </row>
    <row r="1096" spans="2:6">
      <c r="B1096" s="51"/>
      <c r="C1096" s="51"/>
      <c r="D1096" s="51"/>
      <c r="F1096" s="51"/>
    </row>
    <row r="1097" spans="2:6">
      <c r="B1097" s="51"/>
      <c r="C1097" s="51"/>
      <c r="D1097" s="51"/>
      <c r="F1097" s="51"/>
    </row>
    <row r="1098" spans="2:6">
      <c r="B1098" s="51"/>
      <c r="C1098" s="51"/>
      <c r="D1098" s="51"/>
      <c r="F1098" s="51"/>
    </row>
    <row r="1099" spans="2:6">
      <c r="B1099" s="51"/>
      <c r="C1099" s="51"/>
      <c r="D1099" s="51"/>
      <c r="F1099" s="51"/>
    </row>
    <row r="1100" spans="2:6">
      <c r="B1100" s="51"/>
      <c r="C1100" s="51"/>
      <c r="D1100" s="51"/>
      <c r="F1100" s="51"/>
    </row>
    <row r="1101" spans="2:6">
      <c r="B1101" s="51"/>
      <c r="C1101" s="51"/>
      <c r="D1101" s="51"/>
      <c r="F1101" s="51"/>
    </row>
    <row r="1102" spans="2:6">
      <c r="B1102" s="51"/>
      <c r="C1102" s="51"/>
      <c r="D1102" s="51"/>
      <c r="F1102" s="51"/>
    </row>
    <row r="1103" spans="2:6">
      <c r="B1103" s="51"/>
      <c r="C1103" s="51"/>
      <c r="D1103" s="51"/>
      <c r="F1103" s="51"/>
    </row>
    <row r="1104" spans="2:6">
      <c r="B1104" s="51"/>
      <c r="C1104" s="51"/>
      <c r="D1104" s="51"/>
      <c r="F1104" s="51"/>
    </row>
    <row r="1105" spans="2:6">
      <c r="B1105" s="51"/>
      <c r="C1105" s="51"/>
      <c r="D1105" s="51"/>
      <c r="F1105" s="51"/>
    </row>
    <row r="1106" spans="2:6">
      <c r="B1106" s="51"/>
      <c r="C1106" s="51"/>
      <c r="D1106" s="51"/>
      <c r="F1106" s="51"/>
    </row>
    <row r="1107" spans="2:6">
      <c r="B1107" s="51"/>
      <c r="C1107" s="51"/>
      <c r="D1107" s="51"/>
      <c r="F1107" s="51"/>
    </row>
    <row r="1108" spans="2:6">
      <c r="B1108" s="51"/>
      <c r="C1108" s="51"/>
      <c r="D1108" s="51"/>
      <c r="F1108" s="51"/>
    </row>
    <row r="1109" spans="2:6">
      <c r="B1109" s="51"/>
      <c r="C1109" s="51"/>
      <c r="D1109" s="51"/>
      <c r="F1109" s="51"/>
    </row>
    <row r="1110" spans="2:6">
      <c r="B1110" s="51"/>
      <c r="C1110" s="51"/>
      <c r="D1110" s="51"/>
      <c r="F1110" s="51"/>
    </row>
    <row r="1111" spans="2:6">
      <c r="B1111" s="51"/>
      <c r="C1111" s="51"/>
      <c r="D1111" s="51"/>
      <c r="F1111" s="51"/>
    </row>
    <row r="1112" spans="2:6">
      <c r="B1112" s="51"/>
      <c r="C1112" s="51"/>
      <c r="D1112" s="51"/>
      <c r="F1112" s="51"/>
    </row>
    <row r="1113" spans="2:6">
      <c r="B1113" s="51"/>
      <c r="C1113" s="51"/>
      <c r="D1113" s="51"/>
      <c r="F1113" s="51"/>
    </row>
    <row r="1114" spans="2:6">
      <c r="B1114" s="51"/>
      <c r="C1114" s="51"/>
      <c r="D1114" s="51"/>
      <c r="F1114" s="51"/>
    </row>
    <row r="1115" spans="2:6">
      <c r="B1115" s="51"/>
      <c r="C1115" s="51"/>
      <c r="D1115" s="51"/>
      <c r="F1115" s="51"/>
    </row>
    <row r="1116" spans="2:6">
      <c r="B1116" s="51"/>
      <c r="C1116" s="51"/>
      <c r="D1116" s="51"/>
      <c r="F1116" s="51"/>
    </row>
    <row r="1117" spans="2:6">
      <c r="B1117" s="51"/>
      <c r="C1117" s="51"/>
      <c r="D1117" s="51"/>
      <c r="F1117" s="51"/>
    </row>
    <row r="1118" spans="2:6">
      <c r="B1118" s="51"/>
      <c r="C1118" s="51"/>
      <c r="D1118" s="51"/>
      <c r="F1118" s="51"/>
    </row>
    <row r="1119" spans="2:6">
      <c r="B1119" s="51"/>
      <c r="C1119" s="51"/>
      <c r="D1119" s="51"/>
      <c r="F1119" s="51"/>
    </row>
    <row r="1120" spans="2:6">
      <c r="B1120" s="51"/>
      <c r="C1120" s="51"/>
      <c r="D1120" s="51"/>
      <c r="F1120" s="51"/>
    </row>
    <row r="1121" spans="2:6">
      <c r="B1121" s="51"/>
      <c r="C1121" s="51"/>
      <c r="D1121" s="51"/>
      <c r="F1121" s="51"/>
    </row>
    <row r="1122" spans="2:6">
      <c r="B1122" s="51"/>
      <c r="C1122" s="51"/>
      <c r="D1122" s="51"/>
      <c r="F1122" s="51"/>
    </row>
    <row r="1123" spans="2:6">
      <c r="B1123" s="51"/>
      <c r="C1123" s="51"/>
      <c r="D1123" s="51"/>
      <c r="F1123" s="51"/>
    </row>
    <row r="1124" spans="2:6">
      <c r="B1124" s="51"/>
      <c r="C1124" s="51"/>
      <c r="D1124" s="51"/>
      <c r="F1124" s="51"/>
    </row>
    <row r="1125" spans="2:6">
      <c r="B1125" s="51"/>
      <c r="C1125" s="51"/>
      <c r="D1125" s="51"/>
      <c r="F1125" s="51"/>
    </row>
    <row r="1126" spans="2:6">
      <c r="B1126" s="51"/>
      <c r="C1126" s="51"/>
      <c r="D1126" s="51"/>
      <c r="F1126" s="51"/>
    </row>
    <row r="1127" spans="2:6">
      <c r="B1127" s="51"/>
      <c r="C1127" s="51"/>
      <c r="D1127" s="51"/>
      <c r="F1127" s="51"/>
    </row>
    <row r="1128" spans="2:6">
      <c r="B1128" s="51"/>
      <c r="C1128" s="51"/>
      <c r="D1128" s="51"/>
      <c r="F1128" s="51"/>
    </row>
    <row r="1129" spans="2:6">
      <c r="B1129" s="51"/>
      <c r="C1129" s="51"/>
      <c r="D1129" s="51"/>
      <c r="F1129" s="51"/>
    </row>
    <row r="1130" spans="2:6">
      <c r="B1130" s="51"/>
      <c r="C1130" s="51"/>
      <c r="D1130" s="51"/>
      <c r="F1130" s="51"/>
    </row>
    <row r="1131" spans="2:6">
      <c r="B1131" s="51"/>
      <c r="C1131" s="51"/>
      <c r="D1131" s="51"/>
      <c r="F1131" s="51"/>
    </row>
    <row r="1132" spans="2:6">
      <c r="B1132" s="51"/>
      <c r="C1132" s="51"/>
      <c r="D1132" s="51"/>
      <c r="F1132" s="51"/>
    </row>
    <row r="1133" spans="2:6">
      <c r="B1133" s="51"/>
      <c r="C1133" s="51"/>
      <c r="D1133" s="51"/>
      <c r="F1133" s="51"/>
    </row>
    <row r="1134" spans="2:6">
      <c r="B1134" s="51"/>
      <c r="C1134" s="51"/>
      <c r="D1134" s="51"/>
      <c r="F1134" s="51"/>
    </row>
    <row r="1135" spans="2:6">
      <c r="B1135" s="51"/>
      <c r="C1135" s="51"/>
      <c r="D1135" s="51"/>
      <c r="F1135" s="51"/>
    </row>
    <row r="1136" spans="2:6">
      <c r="B1136" s="51"/>
      <c r="C1136" s="51"/>
      <c r="D1136" s="51"/>
      <c r="F1136" s="51"/>
    </row>
    <row r="1137" spans="2:6">
      <c r="B1137" s="51"/>
      <c r="C1137" s="51"/>
      <c r="D1137" s="51"/>
      <c r="F1137" s="51"/>
    </row>
    <row r="1138" spans="2:6">
      <c r="B1138" s="51"/>
      <c r="C1138" s="51"/>
      <c r="D1138" s="51"/>
      <c r="F1138" s="51"/>
    </row>
    <row r="1139" spans="2:6">
      <c r="B1139" s="51"/>
      <c r="C1139" s="51"/>
      <c r="D1139" s="51"/>
      <c r="F1139" s="51"/>
    </row>
    <row r="1140" spans="2:6">
      <c r="B1140" s="51"/>
      <c r="C1140" s="51"/>
      <c r="D1140" s="51"/>
      <c r="F1140" s="51"/>
    </row>
    <row r="1141" spans="2:6">
      <c r="B1141" s="51"/>
      <c r="C1141" s="51"/>
      <c r="D1141" s="51"/>
      <c r="F1141" s="51"/>
    </row>
    <row r="1142" spans="2:6">
      <c r="B1142" s="51"/>
      <c r="C1142" s="51"/>
      <c r="D1142" s="51"/>
      <c r="F1142" s="51"/>
    </row>
    <row r="1143" spans="2:6">
      <c r="B1143" s="51"/>
      <c r="C1143" s="51"/>
      <c r="D1143" s="51"/>
      <c r="F1143" s="51"/>
    </row>
    <row r="1144" spans="2:6">
      <c r="B1144" s="51"/>
      <c r="C1144" s="51"/>
      <c r="D1144" s="51"/>
      <c r="F1144" s="51"/>
    </row>
    <row r="1145" spans="2:6">
      <c r="B1145" s="51"/>
      <c r="C1145" s="51"/>
      <c r="D1145" s="51"/>
      <c r="F1145" s="51"/>
    </row>
    <row r="1146" spans="2:6">
      <c r="B1146" s="51"/>
      <c r="C1146" s="51"/>
      <c r="D1146" s="51"/>
      <c r="F1146" s="51"/>
    </row>
    <row r="1147" spans="2:6">
      <c r="B1147" s="51"/>
      <c r="C1147" s="51"/>
      <c r="D1147" s="51"/>
      <c r="F1147" s="51"/>
    </row>
    <row r="1148" spans="2:6">
      <c r="B1148" s="51"/>
      <c r="C1148" s="51"/>
      <c r="D1148" s="51"/>
      <c r="F1148" s="51"/>
    </row>
    <row r="1149" spans="2:6">
      <c r="B1149" s="51"/>
      <c r="C1149" s="51"/>
      <c r="D1149" s="51"/>
      <c r="F1149" s="51"/>
    </row>
    <row r="1150" spans="2:6">
      <c r="B1150" s="51"/>
      <c r="C1150" s="51"/>
      <c r="D1150" s="51"/>
      <c r="F1150" s="51"/>
    </row>
    <row r="1151" spans="2:6">
      <c r="B1151" s="51"/>
      <c r="C1151" s="51"/>
      <c r="D1151" s="51"/>
      <c r="F1151" s="51"/>
    </row>
    <row r="1152" spans="2:6">
      <c r="B1152" s="51"/>
      <c r="C1152" s="51"/>
      <c r="D1152" s="51"/>
      <c r="F1152" s="51"/>
    </row>
    <row r="1153" spans="2:6">
      <c r="B1153" s="51"/>
      <c r="C1153" s="51"/>
      <c r="D1153" s="51"/>
      <c r="F1153" s="51"/>
    </row>
    <row r="1154" spans="2:6">
      <c r="B1154" s="51"/>
      <c r="C1154" s="51"/>
      <c r="D1154" s="51"/>
      <c r="F1154" s="51"/>
    </row>
    <row r="1155" spans="2:6">
      <c r="B1155" s="51"/>
      <c r="C1155" s="51"/>
      <c r="D1155" s="51"/>
      <c r="F1155" s="51"/>
    </row>
    <row r="1156" spans="2:6">
      <c r="B1156" s="51"/>
      <c r="C1156" s="51"/>
      <c r="D1156" s="51"/>
      <c r="F1156" s="51"/>
    </row>
    <row r="1157" spans="2:6">
      <c r="B1157" s="51"/>
      <c r="C1157" s="51"/>
      <c r="D1157" s="51"/>
      <c r="F1157" s="51"/>
    </row>
    <row r="1158" spans="2:6">
      <c r="B1158" s="51"/>
      <c r="C1158" s="51"/>
      <c r="D1158" s="51"/>
      <c r="F1158" s="51"/>
    </row>
    <row r="1159" spans="2:6">
      <c r="B1159" s="51"/>
      <c r="C1159" s="51"/>
      <c r="D1159" s="51"/>
      <c r="F1159" s="51"/>
    </row>
    <row r="1160" spans="2:6">
      <c r="B1160" s="51"/>
      <c r="C1160" s="51"/>
      <c r="D1160" s="51"/>
      <c r="F1160" s="51"/>
    </row>
    <row r="1161" spans="2:6">
      <c r="B1161" s="51"/>
      <c r="C1161" s="51"/>
      <c r="D1161" s="51"/>
      <c r="F1161" s="51"/>
    </row>
    <row r="1162" spans="2:6">
      <c r="B1162" s="51"/>
      <c r="C1162" s="51"/>
      <c r="D1162" s="51"/>
      <c r="F1162" s="51"/>
    </row>
    <row r="1163" spans="2:6">
      <c r="B1163" s="51"/>
      <c r="C1163" s="51"/>
      <c r="D1163" s="51"/>
      <c r="F1163" s="51"/>
    </row>
    <row r="1164" spans="2:6">
      <c r="B1164" s="51"/>
      <c r="C1164" s="51"/>
      <c r="D1164" s="51"/>
      <c r="F1164" s="51"/>
    </row>
    <row r="1165" spans="2:6">
      <c r="B1165" s="51"/>
      <c r="C1165" s="51"/>
      <c r="D1165" s="51"/>
      <c r="F1165" s="51"/>
    </row>
    <row r="1166" spans="2:6">
      <c r="B1166" s="51"/>
      <c r="C1166" s="51"/>
      <c r="D1166" s="51"/>
      <c r="F1166" s="51"/>
    </row>
    <row r="1167" spans="2:6">
      <c r="B1167" s="51"/>
      <c r="C1167" s="51"/>
      <c r="D1167" s="51"/>
      <c r="F1167" s="51"/>
    </row>
    <row r="1168" spans="2:6">
      <c r="B1168" s="51"/>
      <c r="C1168" s="51"/>
      <c r="D1168" s="51"/>
      <c r="F1168" s="51"/>
    </row>
    <row r="1169" spans="2:6">
      <c r="B1169" s="51"/>
      <c r="C1169" s="51"/>
      <c r="D1169" s="51"/>
      <c r="F1169" s="51"/>
    </row>
    <row r="1170" spans="2:6">
      <c r="B1170" s="51"/>
      <c r="C1170" s="51"/>
      <c r="D1170" s="51"/>
      <c r="F1170" s="51"/>
    </row>
    <row r="1171" spans="2:6">
      <c r="B1171" s="51"/>
      <c r="C1171" s="51"/>
      <c r="D1171" s="51"/>
      <c r="F1171" s="51"/>
    </row>
    <row r="1172" spans="2:6">
      <c r="B1172" s="51"/>
      <c r="C1172" s="51"/>
      <c r="D1172" s="51"/>
      <c r="F1172" s="51"/>
    </row>
    <row r="1173" spans="2:6">
      <c r="B1173" s="51"/>
      <c r="C1173" s="51"/>
      <c r="D1173" s="51"/>
      <c r="F1173" s="51"/>
    </row>
    <row r="1174" spans="2:6">
      <c r="B1174" s="51"/>
      <c r="C1174" s="51"/>
      <c r="D1174" s="51"/>
      <c r="F1174" s="51"/>
    </row>
    <row r="1175" spans="2:6">
      <c r="B1175" s="51"/>
      <c r="C1175" s="51"/>
      <c r="D1175" s="51"/>
      <c r="F1175" s="51"/>
    </row>
    <row r="1176" spans="2:6">
      <c r="B1176" s="51"/>
      <c r="C1176" s="51"/>
      <c r="D1176" s="51"/>
      <c r="F1176" s="51"/>
    </row>
    <row r="1177" spans="2:6">
      <c r="B1177" s="51"/>
      <c r="C1177" s="51"/>
      <c r="D1177" s="51"/>
      <c r="F1177" s="51"/>
    </row>
    <row r="1178" spans="2:6">
      <c r="B1178" s="51"/>
      <c r="C1178" s="51"/>
      <c r="D1178" s="51"/>
      <c r="F1178" s="51"/>
    </row>
    <row r="1179" spans="2:6">
      <c r="B1179" s="51"/>
      <c r="C1179" s="51"/>
      <c r="D1179" s="51"/>
      <c r="F1179" s="51"/>
    </row>
    <row r="1180" spans="2:6">
      <c r="B1180" s="51"/>
      <c r="C1180" s="51"/>
      <c r="D1180" s="51"/>
      <c r="F1180" s="51"/>
    </row>
    <row r="1181" spans="2:6">
      <c r="B1181" s="51"/>
      <c r="C1181" s="51"/>
      <c r="D1181" s="51"/>
      <c r="F1181" s="51"/>
    </row>
    <row r="1182" spans="2:6">
      <c r="B1182" s="51"/>
      <c r="C1182" s="51"/>
      <c r="D1182" s="51"/>
      <c r="F1182" s="51"/>
    </row>
    <row r="1183" spans="2:6">
      <c r="B1183" s="51"/>
      <c r="C1183" s="51"/>
      <c r="D1183" s="51"/>
      <c r="F1183" s="51"/>
    </row>
    <row r="1184" spans="2:6">
      <c r="B1184" s="51"/>
      <c r="C1184" s="51"/>
      <c r="D1184" s="51"/>
      <c r="F1184" s="51"/>
    </row>
    <row r="1185" spans="2:6">
      <c r="B1185" s="51"/>
      <c r="C1185" s="51"/>
      <c r="D1185" s="51"/>
      <c r="F1185" s="51"/>
    </row>
    <row r="1186" spans="2:6">
      <c r="B1186" s="51"/>
      <c r="C1186" s="51"/>
      <c r="D1186" s="51"/>
      <c r="F1186" s="51"/>
    </row>
    <row r="1187" spans="2:6">
      <c r="B1187" s="51"/>
      <c r="C1187" s="51"/>
      <c r="D1187" s="51"/>
      <c r="F1187" s="51"/>
    </row>
    <row r="1188" spans="2:6">
      <c r="B1188" s="51"/>
      <c r="C1188" s="51"/>
      <c r="D1188" s="51"/>
      <c r="F1188" s="51"/>
    </row>
    <row r="1189" spans="2:6">
      <c r="B1189" s="51"/>
      <c r="C1189" s="51"/>
      <c r="D1189" s="51"/>
      <c r="F1189" s="51"/>
    </row>
    <row r="1190" spans="2:6">
      <c r="B1190" s="51"/>
      <c r="C1190" s="51"/>
      <c r="D1190" s="51"/>
      <c r="F1190" s="51"/>
    </row>
    <row r="1191" spans="2:6">
      <c r="B1191" s="51"/>
      <c r="C1191" s="51"/>
      <c r="D1191" s="51"/>
      <c r="F1191" s="51"/>
    </row>
    <row r="1192" spans="2:6">
      <c r="B1192" s="51"/>
      <c r="C1192" s="51"/>
      <c r="D1192" s="51"/>
      <c r="F1192" s="51"/>
    </row>
    <row r="1193" spans="2:6">
      <c r="B1193" s="51"/>
      <c r="C1193" s="51"/>
      <c r="D1193" s="51"/>
      <c r="F1193" s="51"/>
    </row>
    <row r="1194" spans="2:6">
      <c r="B1194" s="51"/>
      <c r="C1194" s="51"/>
      <c r="D1194" s="51"/>
      <c r="F1194" s="51"/>
    </row>
    <row r="1195" spans="2:6">
      <c r="B1195" s="51"/>
      <c r="C1195" s="51"/>
      <c r="D1195" s="51"/>
      <c r="F1195" s="51"/>
    </row>
    <row r="1196" spans="2:6">
      <c r="B1196" s="51"/>
      <c r="C1196" s="51"/>
      <c r="D1196" s="51"/>
      <c r="F1196" s="51"/>
    </row>
    <row r="1197" spans="2:6">
      <c r="B1197" s="51"/>
      <c r="C1197" s="51"/>
      <c r="D1197" s="51"/>
      <c r="F1197" s="51"/>
    </row>
    <row r="1198" spans="2:6">
      <c r="B1198" s="51"/>
      <c r="C1198" s="51"/>
      <c r="D1198" s="51"/>
      <c r="F1198" s="51"/>
    </row>
    <row r="1199" spans="2:6">
      <c r="B1199" s="51"/>
      <c r="C1199" s="51"/>
      <c r="D1199" s="51"/>
      <c r="F1199" s="51"/>
    </row>
    <row r="1200" spans="2:6">
      <c r="B1200" s="51"/>
      <c r="C1200" s="51"/>
      <c r="D1200" s="51"/>
      <c r="F1200" s="51"/>
    </row>
    <row r="1201" spans="2:6">
      <c r="B1201" s="51"/>
      <c r="C1201" s="51"/>
      <c r="D1201" s="51"/>
      <c r="F1201" s="51"/>
    </row>
    <row r="1202" spans="2:6">
      <c r="B1202" s="51"/>
      <c r="C1202" s="51"/>
      <c r="D1202" s="51"/>
      <c r="F1202" s="51"/>
    </row>
    <row r="1203" spans="2:6">
      <c r="B1203" s="51"/>
      <c r="C1203" s="51"/>
      <c r="D1203" s="51"/>
      <c r="F1203" s="51"/>
    </row>
    <row r="1204" spans="2:6">
      <c r="B1204" s="51"/>
      <c r="C1204" s="51"/>
      <c r="D1204" s="51"/>
      <c r="F1204" s="51"/>
    </row>
    <row r="1205" spans="2:6">
      <c r="B1205" s="51"/>
      <c r="C1205" s="51"/>
      <c r="D1205" s="51"/>
      <c r="F1205" s="51"/>
    </row>
    <row r="1206" spans="2:6">
      <c r="B1206" s="51"/>
      <c r="C1206" s="51"/>
      <c r="D1206" s="51"/>
      <c r="F1206" s="51"/>
    </row>
    <row r="1207" spans="2:6">
      <c r="B1207" s="51"/>
      <c r="C1207" s="51"/>
      <c r="D1207" s="51"/>
      <c r="F1207" s="51"/>
    </row>
    <row r="1208" spans="2:6">
      <c r="B1208" s="51"/>
      <c r="C1208" s="51"/>
      <c r="D1208" s="51"/>
      <c r="F1208" s="51"/>
    </row>
    <row r="1209" spans="2:6">
      <c r="B1209" s="51"/>
      <c r="C1209" s="51"/>
      <c r="D1209" s="51"/>
      <c r="F1209" s="51"/>
    </row>
    <row r="1210" spans="2:6">
      <c r="B1210" s="51"/>
      <c r="C1210" s="51"/>
      <c r="D1210" s="51"/>
      <c r="F1210" s="51"/>
    </row>
    <row r="1211" spans="2:6">
      <c r="B1211" s="51"/>
      <c r="C1211" s="51"/>
      <c r="D1211" s="51"/>
      <c r="F1211" s="51"/>
    </row>
    <row r="1212" spans="2:6">
      <c r="B1212" s="51"/>
      <c r="C1212" s="51"/>
      <c r="D1212" s="51"/>
      <c r="F1212" s="51"/>
    </row>
    <row r="1213" spans="2:6">
      <c r="B1213" s="51"/>
      <c r="C1213" s="51"/>
      <c r="D1213" s="51"/>
      <c r="F1213" s="51"/>
    </row>
    <row r="1214" spans="2:6">
      <c r="B1214" s="51"/>
      <c r="C1214" s="51"/>
      <c r="D1214" s="51"/>
      <c r="F1214" s="51"/>
    </row>
    <row r="1215" spans="2:6">
      <c r="B1215" s="51"/>
      <c r="C1215" s="51"/>
      <c r="D1215" s="51"/>
      <c r="F1215" s="51"/>
    </row>
    <row r="1216" spans="2:6">
      <c r="B1216" s="51"/>
      <c r="C1216" s="51"/>
      <c r="D1216" s="51"/>
      <c r="F1216" s="51"/>
    </row>
    <row r="1217" spans="2:6">
      <c r="B1217" s="51"/>
      <c r="C1217" s="51"/>
      <c r="D1217" s="51"/>
      <c r="F1217" s="51"/>
    </row>
    <row r="1218" spans="2:6">
      <c r="B1218" s="51"/>
      <c r="C1218" s="51"/>
      <c r="D1218" s="51"/>
      <c r="F1218" s="51"/>
    </row>
    <row r="1219" spans="2:6">
      <c r="B1219" s="51"/>
      <c r="C1219" s="51"/>
      <c r="D1219" s="51"/>
      <c r="F1219" s="51"/>
    </row>
    <row r="1220" spans="2:6">
      <c r="B1220" s="51"/>
      <c r="C1220" s="51"/>
      <c r="D1220" s="51"/>
      <c r="F1220" s="51"/>
    </row>
    <row r="1221" spans="2:6">
      <c r="B1221" s="51"/>
      <c r="C1221" s="51"/>
      <c r="D1221" s="51"/>
      <c r="F1221" s="51"/>
    </row>
    <row r="1222" spans="2:6">
      <c r="B1222" s="51"/>
      <c r="C1222" s="51"/>
      <c r="D1222" s="51"/>
      <c r="F1222" s="51"/>
    </row>
    <row r="1223" spans="2:6">
      <c r="B1223" s="51"/>
      <c r="C1223" s="51"/>
      <c r="D1223" s="51"/>
      <c r="F1223" s="51"/>
    </row>
    <row r="1224" spans="2:6">
      <c r="B1224" s="51"/>
      <c r="C1224" s="51"/>
      <c r="D1224" s="51"/>
      <c r="F1224" s="51"/>
    </row>
    <row r="1225" spans="2:6">
      <c r="B1225" s="51"/>
      <c r="C1225" s="51"/>
      <c r="D1225" s="51"/>
      <c r="F1225" s="51"/>
    </row>
    <row r="1226" spans="2:6">
      <c r="B1226" s="51"/>
      <c r="C1226" s="51"/>
      <c r="D1226" s="51"/>
      <c r="F1226" s="51"/>
    </row>
    <row r="1227" spans="2:6">
      <c r="B1227" s="51"/>
      <c r="C1227" s="51"/>
      <c r="D1227" s="51"/>
      <c r="F1227" s="51"/>
    </row>
    <row r="1228" spans="2:6">
      <c r="B1228" s="51"/>
      <c r="C1228" s="51"/>
      <c r="D1228" s="51"/>
      <c r="F1228" s="51"/>
    </row>
    <row r="1229" spans="2:6">
      <c r="B1229" s="51"/>
      <c r="C1229" s="51"/>
      <c r="D1229" s="51"/>
      <c r="F1229" s="51"/>
    </row>
    <row r="1230" spans="2:6">
      <c r="B1230" s="51"/>
      <c r="C1230" s="51"/>
      <c r="D1230" s="51"/>
      <c r="F1230" s="51"/>
    </row>
    <row r="1231" spans="2:6">
      <c r="B1231" s="51"/>
      <c r="C1231" s="51"/>
      <c r="D1231" s="51"/>
      <c r="F1231" s="51"/>
    </row>
    <row r="1232" spans="2:6">
      <c r="B1232" s="51"/>
      <c r="C1232" s="51"/>
      <c r="D1232" s="51"/>
      <c r="F1232" s="51"/>
    </row>
    <row r="1233" spans="2:6">
      <c r="B1233" s="51"/>
      <c r="C1233" s="51"/>
      <c r="D1233" s="51"/>
      <c r="F1233" s="51"/>
    </row>
    <row r="1234" spans="2:6">
      <c r="B1234" s="51"/>
      <c r="C1234" s="51"/>
      <c r="D1234" s="51"/>
      <c r="F1234" s="51"/>
    </row>
    <row r="1235" spans="2:6">
      <c r="B1235" s="51"/>
      <c r="C1235" s="51"/>
      <c r="D1235" s="51"/>
      <c r="F1235" s="51"/>
    </row>
    <row r="1236" spans="2:6">
      <c r="B1236" s="51"/>
      <c r="C1236" s="51"/>
      <c r="D1236" s="51"/>
      <c r="F1236" s="51"/>
    </row>
    <row r="1237" spans="2:6">
      <c r="B1237" s="51"/>
      <c r="C1237" s="51"/>
      <c r="D1237" s="51"/>
      <c r="F1237" s="51"/>
    </row>
    <row r="1238" spans="2:6">
      <c r="B1238" s="51"/>
      <c r="C1238" s="51"/>
      <c r="D1238" s="51"/>
      <c r="F1238" s="51"/>
    </row>
    <row r="1239" spans="2:6">
      <c r="B1239" s="51"/>
      <c r="C1239" s="51"/>
      <c r="D1239" s="51"/>
      <c r="F1239" s="51"/>
    </row>
    <row r="1240" spans="2:6">
      <c r="B1240" s="51"/>
      <c r="C1240" s="51"/>
      <c r="D1240" s="51"/>
      <c r="F1240" s="51"/>
    </row>
    <row r="1241" spans="2:6">
      <c r="B1241" s="51"/>
      <c r="C1241" s="51"/>
      <c r="D1241" s="51"/>
      <c r="F1241" s="51"/>
    </row>
    <row r="1242" spans="2:6">
      <c r="B1242" s="51"/>
      <c r="C1242" s="51"/>
      <c r="D1242" s="51"/>
      <c r="F1242" s="51"/>
    </row>
    <row r="1243" spans="2:6">
      <c r="B1243" s="51"/>
      <c r="C1243" s="51"/>
      <c r="D1243" s="51"/>
      <c r="F1243" s="51"/>
    </row>
    <row r="1244" spans="2:6">
      <c r="B1244" s="51"/>
      <c r="C1244" s="51"/>
      <c r="D1244" s="51"/>
      <c r="F1244" s="51"/>
    </row>
    <row r="1245" spans="2:6">
      <c r="B1245" s="51"/>
      <c r="C1245" s="51"/>
      <c r="D1245" s="51"/>
      <c r="F1245" s="51"/>
    </row>
    <row r="1246" spans="2:6">
      <c r="B1246" s="51"/>
      <c r="C1246" s="51"/>
      <c r="D1246" s="51"/>
      <c r="F1246" s="51"/>
    </row>
    <row r="1247" spans="2:6">
      <c r="B1247" s="51"/>
      <c r="C1247" s="51"/>
      <c r="D1247" s="51"/>
      <c r="F1247" s="51"/>
    </row>
    <row r="1248" spans="2:6">
      <c r="B1248" s="51"/>
      <c r="C1248" s="51"/>
      <c r="D1248" s="51"/>
      <c r="F1248" s="51"/>
    </row>
    <row r="1249" spans="2:6">
      <c r="B1249" s="51"/>
      <c r="C1249" s="51"/>
      <c r="D1249" s="51"/>
      <c r="F1249" s="51"/>
    </row>
    <row r="1250" spans="2:6">
      <c r="B1250" s="51"/>
      <c r="C1250" s="51"/>
      <c r="D1250" s="51"/>
      <c r="F1250" s="51"/>
    </row>
    <row r="1251" spans="2:6">
      <c r="B1251" s="51"/>
      <c r="C1251" s="51"/>
      <c r="D1251" s="51"/>
      <c r="F1251" s="51"/>
    </row>
    <row r="1252" spans="2:6">
      <c r="B1252" s="51"/>
      <c r="C1252" s="51"/>
      <c r="D1252" s="51"/>
      <c r="F1252" s="51"/>
    </row>
    <row r="1253" spans="2:6">
      <c r="B1253" s="51"/>
      <c r="C1253" s="51"/>
      <c r="D1253" s="51"/>
      <c r="F1253" s="51"/>
    </row>
    <row r="1254" spans="2:6">
      <c r="B1254" s="51"/>
      <c r="C1254" s="51"/>
      <c r="D1254" s="51"/>
      <c r="F1254" s="51"/>
    </row>
    <row r="1255" spans="2:6">
      <c r="B1255" s="51"/>
      <c r="C1255" s="51"/>
      <c r="D1255" s="51"/>
      <c r="F1255" s="51"/>
    </row>
    <row r="1256" spans="2:6">
      <c r="B1256" s="51"/>
      <c r="C1256" s="51"/>
      <c r="D1256" s="51"/>
      <c r="F1256" s="51"/>
    </row>
    <row r="1257" spans="2:6">
      <c r="B1257" s="51"/>
      <c r="C1257" s="51"/>
      <c r="D1257" s="51"/>
      <c r="F1257" s="51"/>
    </row>
    <row r="1258" spans="2:6">
      <c r="B1258" s="51"/>
      <c r="C1258" s="51"/>
      <c r="D1258" s="51"/>
      <c r="F1258" s="51"/>
    </row>
    <row r="1259" spans="2:6">
      <c r="B1259" s="51"/>
      <c r="C1259" s="51"/>
      <c r="D1259" s="51"/>
      <c r="F1259" s="51"/>
    </row>
    <row r="1260" spans="2:6">
      <c r="B1260" s="51"/>
      <c r="C1260" s="51"/>
      <c r="D1260" s="51"/>
      <c r="F1260" s="51"/>
    </row>
    <row r="1261" spans="2:6">
      <c r="B1261" s="51"/>
      <c r="C1261" s="51"/>
      <c r="D1261" s="51"/>
      <c r="F1261" s="51"/>
    </row>
    <row r="1262" spans="2:6">
      <c r="B1262" s="51"/>
      <c r="C1262" s="51"/>
      <c r="D1262" s="51"/>
      <c r="F1262" s="51"/>
    </row>
    <row r="1263" spans="2:6">
      <c r="B1263" s="51"/>
      <c r="C1263" s="51"/>
      <c r="D1263" s="51"/>
      <c r="F1263" s="51"/>
    </row>
    <row r="1264" spans="2:6">
      <c r="B1264" s="51"/>
      <c r="C1264" s="51"/>
      <c r="D1264" s="51"/>
      <c r="F1264" s="51"/>
    </row>
    <row r="1265" spans="2:6">
      <c r="B1265" s="51"/>
      <c r="C1265" s="51"/>
      <c r="D1265" s="51"/>
      <c r="F1265" s="51"/>
    </row>
    <row r="1266" spans="2:6">
      <c r="B1266" s="51"/>
      <c r="C1266" s="51"/>
      <c r="D1266" s="51"/>
      <c r="F1266" s="51"/>
    </row>
    <row r="1267" spans="2:6">
      <c r="B1267" s="51"/>
      <c r="C1267" s="51"/>
      <c r="D1267" s="51"/>
      <c r="F1267" s="51"/>
    </row>
    <row r="1268" spans="2:6">
      <c r="B1268" s="51"/>
      <c r="C1268" s="51"/>
      <c r="D1268" s="51"/>
      <c r="F1268" s="51"/>
    </row>
    <row r="1269" spans="2:6">
      <c r="B1269" s="51"/>
      <c r="C1269" s="51"/>
      <c r="D1269" s="51"/>
      <c r="F1269" s="51"/>
    </row>
    <row r="1270" spans="2:6">
      <c r="B1270" s="51"/>
      <c r="C1270" s="51"/>
      <c r="D1270" s="51"/>
      <c r="F1270" s="51"/>
    </row>
    <row r="1271" spans="2:6">
      <c r="B1271" s="51"/>
      <c r="C1271" s="51"/>
      <c r="D1271" s="51"/>
      <c r="F1271" s="51"/>
    </row>
    <row r="1272" spans="2:6">
      <c r="B1272" s="51"/>
      <c r="C1272" s="51"/>
      <c r="D1272" s="51"/>
      <c r="F1272" s="51"/>
    </row>
    <row r="1273" spans="2:6">
      <c r="B1273" s="51"/>
      <c r="C1273" s="51"/>
      <c r="D1273" s="51"/>
      <c r="F1273" s="51"/>
    </row>
    <row r="1274" spans="2:6">
      <c r="B1274" s="51"/>
      <c r="C1274" s="51"/>
      <c r="D1274" s="51"/>
      <c r="F1274" s="51"/>
    </row>
    <row r="1275" spans="2:6">
      <c r="B1275" s="51"/>
      <c r="C1275" s="51"/>
      <c r="D1275" s="51"/>
      <c r="F1275" s="51"/>
    </row>
    <row r="1276" spans="2:6">
      <c r="B1276" s="51"/>
      <c r="C1276" s="51"/>
      <c r="D1276" s="51"/>
      <c r="F1276" s="51"/>
    </row>
    <row r="1277" spans="2:6">
      <c r="B1277" s="51"/>
      <c r="C1277" s="51"/>
      <c r="D1277" s="51"/>
      <c r="F1277" s="51"/>
    </row>
    <row r="1278" spans="2:6">
      <c r="B1278" s="51"/>
      <c r="C1278" s="51"/>
      <c r="D1278" s="51"/>
      <c r="F1278" s="51"/>
    </row>
    <row r="1279" spans="2:6">
      <c r="B1279" s="51"/>
      <c r="C1279" s="51"/>
      <c r="D1279" s="51"/>
      <c r="F1279" s="51"/>
    </row>
    <row r="1280" spans="2:6">
      <c r="B1280" s="51"/>
      <c r="C1280" s="51"/>
      <c r="D1280" s="51"/>
      <c r="F1280" s="51"/>
    </row>
    <row r="1281" spans="2:6">
      <c r="B1281" s="51"/>
      <c r="C1281" s="51"/>
      <c r="D1281" s="51"/>
      <c r="F1281" s="51"/>
    </row>
    <row r="1282" spans="2:6">
      <c r="B1282" s="51"/>
      <c r="C1282" s="51"/>
      <c r="D1282" s="51"/>
      <c r="F1282" s="51"/>
    </row>
    <row r="1283" spans="2:6">
      <c r="B1283" s="51"/>
      <c r="C1283" s="51"/>
      <c r="D1283" s="51"/>
      <c r="F1283" s="51"/>
    </row>
    <row r="1284" spans="2:6">
      <c r="B1284" s="51"/>
      <c r="C1284" s="51"/>
      <c r="D1284" s="51"/>
      <c r="F1284" s="51"/>
    </row>
    <row r="1285" spans="2:6">
      <c r="B1285" s="51"/>
      <c r="C1285" s="51"/>
      <c r="D1285" s="51"/>
      <c r="F1285" s="51"/>
    </row>
    <row r="1286" spans="2:6">
      <c r="B1286" s="51"/>
      <c r="C1286" s="51"/>
      <c r="D1286" s="51"/>
      <c r="F1286" s="51"/>
    </row>
    <row r="1287" spans="2:6">
      <c r="B1287" s="51"/>
      <c r="C1287" s="51"/>
      <c r="D1287" s="51"/>
      <c r="F1287" s="51"/>
    </row>
    <row r="1288" spans="2:6">
      <c r="B1288" s="51"/>
      <c r="C1288" s="51"/>
      <c r="D1288" s="51"/>
      <c r="F1288" s="51"/>
    </row>
    <row r="1289" spans="2:6">
      <c r="B1289" s="51"/>
      <c r="C1289" s="51"/>
      <c r="D1289" s="51"/>
      <c r="F1289" s="51"/>
    </row>
    <row r="1290" spans="2:6">
      <c r="B1290" s="51"/>
      <c r="C1290" s="51"/>
      <c r="D1290" s="51"/>
      <c r="F1290" s="51"/>
    </row>
    <row r="1291" spans="2:6">
      <c r="B1291" s="51"/>
      <c r="C1291" s="51"/>
      <c r="D1291" s="51"/>
      <c r="F1291" s="51"/>
    </row>
    <row r="1292" spans="2:6">
      <c r="B1292" s="51"/>
      <c r="C1292" s="51"/>
      <c r="D1292" s="51"/>
      <c r="F1292" s="51"/>
    </row>
    <row r="1293" spans="2:6">
      <c r="B1293" s="51"/>
      <c r="C1293" s="51"/>
      <c r="D1293" s="51"/>
      <c r="F1293" s="51"/>
    </row>
    <row r="1294" spans="2:6">
      <c r="B1294" s="51"/>
      <c r="C1294" s="51"/>
      <c r="D1294" s="51"/>
      <c r="F1294" s="51"/>
    </row>
    <row r="1295" spans="2:6">
      <c r="B1295" s="51"/>
      <c r="C1295" s="51"/>
      <c r="D1295" s="51"/>
      <c r="F1295" s="51"/>
    </row>
    <row r="1296" spans="2:6">
      <c r="B1296" s="51"/>
      <c r="C1296" s="51"/>
      <c r="D1296" s="51"/>
      <c r="F1296" s="51"/>
    </row>
    <row r="1297" spans="2:6">
      <c r="B1297" s="51"/>
      <c r="C1297" s="51"/>
      <c r="D1297" s="51"/>
      <c r="F1297" s="51"/>
    </row>
    <row r="1298" spans="2:6">
      <c r="B1298" s="51"/>
      <c r="C1298" s="51"/>
      <c r="D1298" s="51"/>
      <c r="F1298" s="51"/>
    </row>
    <row r="1299" spans="2:6">
      <c r="B1299" s="51"/>
      <c r="C1299" s="51"/>
      <c r="D1299" s="51"/>
      <c r="F1299" s="51"/>
    </row>
    <row r="1300" spans="2:6">
      <c r="B1300" s="51"/>
      <c r="C1300" s="51"/>
      <c r="D1300" s="51"/>
      <c r="F1300" s="51"/>
    </row>
    <row r="1301" spans="2:6">
      <c r="B1301" s="51"/>
      <c r="C1301" s="51"/>
      <c r="D1301" s="51"/>
      <c r="F1301" s="51"/>
    </row>
    <row r="1302" spans="2:6">
      <c r="B1302" s="51"/>
      <c r="C1302" s="51"/>
      <c r="D1302" s="51"/>
      <c r="F1302" s="51"/>
    </row>
    <row r="1303" spans="2:6">
      <c r="B1303" s="51"/>
      <c r="C1303" s="51"/>
      <c r="D1303" s="51"/>
      <c r="F1303" s="51"/>
    </row>
    <row r="1304" spans="2:6">
      <c r="B1304" s="51"/>
      <c r="C1304" s="51"/>
      <c r="D1304" s="51"/>
      <c r="F1304" s="51"/>
    </row>
    <row r="1305" spans="2:6">
      <c r="B1305" s="51"/>
      <c r="C1305" s="51"/>
      <c r="D1305" s="51"/>
      <c r="F1305" s="51"/>
    </row>
    <row r="1306" spans="2:6">
      <c r="B1306" s="51"/>
      <c r="C1306" s="51"/>
      <c r="D1306" s="51"/>
      <c r="F1306" s="51"/>
    </row>
    <row r="1307" spans="2:6">
      <c r="B1307" s="51"/>
      <c r="C1307" s="51"/>
      <c r="D1307" s="51"/>
      <c r="F1307" s="51"/>
    </row>
    <row r="1308" spans="2:6">
      <c r="B1308" s="51"/>
      <c r="C1308" s="51"/>
      <c r="D1308" s="51"/>
      <c r="F1308" s="51"/>
    </row>
    <row r="1309" spans="2:6">
      <c r="B1309" s="51"/>
      <c r="C1309" s="51"/>
      <c r="D1309" s="51"/>
      <c r="F1309" s="51"/>
    </row>
    <row r="1310" spans="2:6">
      <c r="B1310" s="51"/>
      <c r="C1310" s="51"/>
      <c r="D1310" s="51"/>
      <c r="F1310" s="51"/>
    </row>
    <row r="1311" spans="2:6">
      <c r="B1311" s="51"/>
      <c r="C1311" s="51"/>
      <c r="D1311" s="51"/>
      <c r="F1311" s="51"/>
    </row>
    <row r="1312" spans="2:6">
      <c r="B1312" s="51"/>
      <c r="C1312" s="51"/>
      <c r="D1312" s="51"/>
      <c r="F1312" s="51"/>
    </row>
    <row r="1313" spans="2:6">
      <c r="B1313" s="51"/>
      <c r="C1313" s="51"/>
      <c r="D1313" s="51"/>
      <c r="F1313" s="51"/>
    </row>
    <row r="1314" spans="2:6">
      <c r="B1314" s="51"/>
      <c r="C1314" s="51"/>
      <c r="D1314" s="51"/>
      <c r="F1314" s="51"/>
    </row>
    <row r="1315" spans="2:6">
      <c r="B1315" s="51"/>
      <c r="C1315" s="51"/>
      <c r="D1315" s="51"/>
      <c r="F1315" s="51"/>
    </row>
    <row r="1316" spans="2:6">
      <c r="B1316" s="51"/>
      <c r="C1316" s="51"/>
      <c r="D1316" s="51"/>
      <c r="F1316" s="51"/>
    </row>
    <row r="1317" spans="2:6">
      <c r="B1317" s="51"/>
      <c r="C1317" s="51"/>
      <c r="D1317" s="51"/>
      <c r="F1317" s="51"/>
    </row>
    <row r="1318" spans="2:6">
      <c r="B1318" s="51"/>
      <c r="C1318" s="51"/>
      <c r="D1318" s="51"/>
      <c r="F1318" s="51"/>
    </row>
    <row r="1319" spans="2:6">
      <c r="B1319" s="51"/>
      <c r="C1319" s="51"/>
      <c r="D1319" s="51"/>
      <c r="F1319" s="51"/>
    </row>
    <row r="1320" spans="2:6">
      <c r="B1320" s="51"/>
      <c r="C1320" s="51"/>
      <c r="D1320" s="51"/>
      <c r="F1320" s="51"/>
    </row>
    <row r="1321" spans="2:6">
      <c r="B1321" s="51"/>
      <c r="C1321" s="51"/>
      <c r="D1321" s="51"/>
      <c r="F1321" s="51"/>
    </row>
    <row r="1322" spans="2:6">
      <c r="B1322" s="51"/>
      <c r="C1322" s="51"/>
      <c r="D1322" s="51"/>
      <c r="F1322" s="51"/>
    </row>
    <row r="1323" spans="2:6">
      <c r="B1323" s="51"/>
      <c r="C1323" s="51"/>
      <c r="D1323" s="51"/>
      <c r="F1323" s="51"/>
    </row>
    <row r="1324" spans="2:6">
      <c r="B1324" s="51"/>
      <c r="C1324" s="51"/>
      <c r="D1324" s="51"/>
      <c r="F1324" s="51"/>
    </row>
    <row r="1325" spans="2:6">
      <c r="B1325" s="51"/>
      <c r="C1325" s="51"/>
      <c r="D1325" s="51"/>
      <c r="F1325" s="51"/>
    </row>
    <row r="1326" spans="2:6">
      <c r="B1326" s="51"/>
      <c r="C1326" s="51"/>
      <c r="D1326" s="51"/>
      <c r="F1326" s="51"/>
    </row>
    <row r="1327" spans="2:6">
      <c r="B1327" s="51"/>
      <c r="C1327" s="51"/>
      <c r="D1327" s="51"/>
      <c r="F1327" s="51"/>
    </row>
    <row r="1328" spans="2:6">
      <c r="B1328" s="51"/>
      <c r="C1328" s="51"/>
      <c r="D1328" s="51"/>
      <c r="F1328" s="51"/>
    </row>
    <row r="1329" spans="2:6">
      <c r="B1329" s="51"/>
      <c r="C1329" s="51"/>
      <c r="D1329" s="51"/>
      <c r="F1329" s="51"/>
    </row>
    <row r="1330" spans="2:6">
      <c r="B1330" s="51"/>
      <c r="C1330" s="51"/>
      <c r="D1330" s="51"/>
      <c r="F1330" s="51"/>
    </row>
    <row r="1331" spans="2:6">
      <c r="B1331" s="51"/>
      <c r="C1331" s="51"/>
      <c r="D1331" s="51"/>
      <c r="F1331" s="51"/>
    </row>
    <row r="1332" spans="2:6">
      <c r="B1332" s="51"/>
      <c r="C1332" s="51"/>
      <c r="D1332" s="51"/>
      <c r="F1332" s="51"/>
    </row>
    <row r="1333" spans="2:6">
      <c r="B1333" s="51"/>
      <c r="C1333" s="51"/>
      <c r="D1333" s="51"/>
      <c r="F1333" s="51"/>
    </row>
    <row r="1334" spans="2:6">
      <c r="B1334" s="51"/>
      <c r="C1334" s="51"/>
      <c r="D1334" s="51"/>
      <c r="F1334" s="51"/>
    </row>
    <row r="1335" spans="2:6">
      <c r="B1335" s="51"/>
      <c r="C1335" s="51"/>
      <c r="D1335" s="51"/>
      <c r="F1335" s="51"/>
    </row>
    <row r="1336" spans="2:6">
      <c r="B1336" s="51"/>
      <c r="C1336" s="51"/>
      <c r="D1336" s="51"/>
      <c r="F1336" s="51"/>
    </row>
    <row r="1337" spans="2:6">
      <c r="B1337" s="51"/>
      <c r="C1337" s="51"/>
      <c r="D1337" s="51"/>
      <c r="F1337" s="51"/>
    </row>
    <row r="1338" spans="2:6">
      <c r="B1338" s="51"/>
      <c r="C1338" s="51"/>
      <c r="D1338" s="51"/>
      <c r="F1338" s="51"/>
    </row>
    <row r="1339" spans="2:6">
      <c r="B1339" s="51"/>
      <c r="C1339" s="51"/>
      <c r="D1339" s="51"/>
      <c r="F1339" s="51"/>
    </row>
    <row r="1340" spans="2:6">
      <c r="B1340" s="51"/>
      <c r="C1340" s="51"/>
      <c r="D1340" s="51"/>
      <c r="F1340" s="51"/>
    </row>
    <row r="1341" spans="2:6">
      <c r="B1341" s="51"/>
      <c r="C1341" s="51"/>
      <c r="D1341" s="51"/>
      <c r="F1341" s="51"/>
    </row>
    <row r="1342" spans="2:6">
      <c r="B1342" s="51"/>
      <c r="C1342" s="51"/>
      <c r="D1342" s="51"/>
      <c r="F1342" s="51"/>
    </row>
    <row r="1343" spans="2:6">
      <c r="B1343" s="51"/>
      <c r="C1343" s="51"/>
      <c r="D1343" s="51"/>
      <c r="F1343" s="51"/>
    </row>
    <row r="1344" spans="2:6">
      <c r="B1344" s="51"/>
      <c r="C1344" s="51"/>
      <c r="D1344" s="51"/>
      <c r="F1344" s="51"/>
    </row>
    <row r="1345" spans="2:6">
      <c r="B1345" s="51"/>
      <c r="C1345" s="51"/>
      <c r="D1345" s="51"/>
      <c r="F1345" s="51"/>
    </row>
    <row r="1346" spans="2:6">
      <c r="B1346" s="51"/>
      <c r="C1346" s="51"/>
      <c r="D1346" s="51"/>
      <c r="F1346" s="51"/>
    </row>
    <row r="1347" spans="2:6">
      <c r="B1347" s="51"/>
      <c r="C1347" s="51"/>
      <c r="D1347" s="51"/>
      <c r="F1347" s="51"/>
    </row>
    <row r="1348" spans="2:6">
      <c r="B1348" s="51"/>
      <c r="C1348" s="51"/>
      <c r="D1348" s="51"/>
      <c r="F1348" s="51"/>
    </row>
    <row r="1349" spans="2:6">
      <c r="B1349" s="51"/>
      <c r="C1349" s="51"/>
      <c r="D1349" s="51"/>
      <c r="F1349" s="51"/>
    </row>
    <row r="1350" spans="2:6">
      <c r="B1350" s="51"/>
      <c r="C1350" s="51"/>
      <c r="D1350" s="51"/>
      <c r="F1350" s="51"/>
    </row>
    <row r="1351" spans="2:6">
      <c r="B1351" s="51"/>
      <c r="C1351" s="51"/>
      <c r="D1351" s="51"/>
      <c r="F1351" s="51"/>
    </row>
    <row r="1352" spans="2:6">
      <c r="B1352" s="51"/>
      <c r="C1352" s="51"/>
      <c r="D1352" s="51"/>
      <c r="F1352" s="51"/>
    </row>
    <row r="1353" spans="2:6">
      <c r="B1353" s="51"/>
      <c r="C1353" s="51"/>
      <c r="D1353" s="51"/>
      <c r="F1353" s="51"/>
    </row>
    <row r="1354" spans="2:6">
      <c r="B1354" s="51"/>
      <c r="C1354" s="51"/>
      <c r="D1354" s="51"/>
      <c r="F1354" s="51"/>
    </row>
    <row r="1355" spans="2:6">
      <c r="B1355" s="51"/>
      <c r="C1355" s="51"/>
      <c r="D1355" s="51"/>
      <c r="F1355" s="51"/>
    </row>
    <row r="1356" spans="2:6">
      <c r="B1356" s="51"/>
      <c r="C1356" s="51"/>
      <c r="D1356" s="51"/>
      <c r="F1356" s="51"/>
    </row>
    <row r="1357" spans="2:6">
      <c r="B1357" s="51"/>
      <c r="C1357" s="51"/>
      <c r="D1357" s="51"/>
      <c r="F1357" s="51"/>
    </row>
    <row r="1358" spans="2:6">
      <c r="B1358" s="51"/>
      <c r="C1358" s="51"/>
      <c r="D1358" s="51"/>
      <c r="F1358" s="51"/>
    </row>
    <row r="1359" spans="2:6">
      <c r="B1359" s="51"/>
      <c r="C1359" s="51"/>
      <c r="D1359" s="51"/>
      <c r="F1359" s="51"/>
    </row>
    <row r="1360" spans="2:6">
      <c r="B1360" s="51"/>
      <c r="C1360" s="51"/>
      <c r="D1360" s="51"/>
      <c r="F1360" s="51"/>
    </row>
    <row r="1361" spans="2:6">
      <c r="B1361" s="51"/>
      <c r="C1361" s="51"/>
      <c r="D1361" s="51"/>
      <c r="F1361" s="51"/>
    </row>
    <row r="1362" spans="2:6">
      <c r="B1362" s="51"/>
      <c r="C1362" s="51"/>
      <c r="D1362" s="51"/>
      <c r="F1362" s="51"/>
    </row>
    <row r="1363" spans="2:6">
      <c r="B1363" s="51"/>
      <c r="C1363" s="51"/>
      <c r="D1363" s="51"/>
      <c r="F1363" s="51"/>
    </row>
    <row r="1364" spans="2:6">
      <c r="B1364" s="51"/>
      <c r="C1364" s="51"/>
      <c r="D1364" s="51"/>
      <c r="F1364" s="51"/>
    </row>
    <row r="1365" spans="2:6">
      <c r="B1365" s="51"/>
      <c r="C1365" s="51"/>
      <c r="D1365" s="51"/>
      <c r="F1365" s="51"/>
    </row>
    <row r="1366" spans="2:6">
      <c r="B1366" s="51"/>
      <c r="C1366" s="51"/>
      <c r="D1366" s="51"/>
      <c r="F1366" s="51"/>
    </row>
    <row r="1367" spans="2:6">
      <c r="B1367" s="51"/>
      <c r="C1367" s="51"/>
      <c r="D1367" s="51"/>
      <c r="F1367" s="51"/>
    </row>
    <row r="1368" spans="2:6">
      <c r="B1368" s="51"/>
      <c r="C1368" s="51"/>
      <c r="D1368" s="51"/>
      <c r="F1368" s="51"/>
    </row>
    <row r="1369" spans="2:6">
      <c r="B1369" s="51"/>
      <c r="C1369" s="51"/>
      <c r="D1369" s="51"/>
      <c r="F1369" s="51"/>
    </row>
    <row r="1370" spans="2:6">
      <c r="B1370" s="51"/>
      <c r="C1370" s="51"/>
      <c r="D1370" s="51"/>
      <c r="F1370" s="51"/>
    </row>
    <row r="1371" spans="2:6">
      <c r="B1371" s="51"/>
      <c r="C1371" s="51"/>
      <c r="D1371" s="51"/>
      <c r="F1371" s="51"/>
    </row>
    <row r="1372" spans="2:6">
      <c r="B1372" s="51"/>
      <c r="C1372" s="51"/>
      <c r="D1372" s="51"/>
      <c r="F1372" s="51"/>
    </row>
    <row r="1373" spans="2:6">
      <c r="B1373" s="51"/>
      <c r="C1373" s="51"/>
      <c r="D1373" s="51"/>
      <c r="F1373" s="51"/>
    </row>
    <row r="1374" spans="2:6">
      <c r="B1374" s="51"/>
      <c r="C1374" s="51"/>
      <c r="D1374" s="51"/>
      <c r="F1374" s="51"/>
    </row>
    <row r="1375" spans="2:6">
      <c r="B1375" s="51"/>
      <c r="C1375" s="51"/>
      <c r="D1375" s="51"/>
      <c r="F1375" s="51"/>
    </row>
    <row r="1376" spans="2:6">
      <c r="B1376" s="51"/>
      <c r="C1376" s="51"/>
      <c r="D1376" s="51"/>
      <c r="F1376" s="51"/>
    </row>
    <row r="1377" spans="2:6">
      <c r="B1377" s="51"/>
      <c r="C1377" s="51"/>
      <c r="D1377" s="51"/>
      <c r="F1377" s="51"/>
    </row>
    <row r="1378" spans="2:6">
      <c r="B1378" s="51"/>
      <c r="C1378" s="51"/>
      <c r="D1378" s="51"/>
      <c r="F1378" s="51"/>
    </row>
    <row r="1379" spans="2:6">
      <c r="B1379" s="51"/>
      <c r="C1379" s="51"/>
      <c r="D1379" s="51"/>
      <c r="F1379" s="51"/>
    </row>
    <row r="1380" spans="2:6">
      <c r="B1380" s="51"/>
      <c r="C1380" s="51"/>
      <c r="D1380" s="51"/>
      <c r="F1380" s="51"/>
    </row>
    <row r="1381" spans="2:6">
      <c r="B1381" s="51"/>
      <c r="C1381" s="51"/>
      <c r="D1381" s="51"/>
      <c r="F1381" s="51"/>
    </row>
    <row r="1382" spans="2:6">
      <c r="B1382" s="51"/>
      <c r="C1382" s="51"/>
      <c r="D1382" s="51"/>
      <c r="F1382" s="51"/>
    </row>
    <row r="1383" spans="2:6">
      <c r="B1383" s="51"/>
      <c r="C1383" s="51"/>
      <c r="D1383" s="51"/>
      <c r="F1383" s="51"/>
    </row>
    <row r="1384" spans="2:6">
      <c r="B1384" s="51"/>
      <c r="C1384" s="51"/>
      <c r="D1384" s="51"/>
      <c r="F1384" s="51"/>
    </row>
    <row r="1385" spans="2:6">
      <c r="B1385" s="51"/>
      <c r="C1385" s="51"/>
      <c r="D1385" s="51"/>
      <c r="F1385" s="51"/>
    </row>
    <row r="1386" spans="2:6">
      <c r="B1386" s="51"/>
      <c r="C1386" s="51"/>
      <c r="D1386" s="51"/>
      <c r="F1386" s="51"/>
    </row>
    <row r="1387" spans="2:6">
      <c r="B1387" s="51"/>
      <c r="C1387" s="51"/>
      <c r="D1387" s="51"/>
      <c r="F1387" s="51"/>
    </row>
    <row r="1388" spans="2:6">
      <c r="B1388" s="51"/>
      <c r="C1388" s="51"/>
      <c r="D1388" s="51"/>
      <c r="F1388" s="51"/>
    </row>
    <row r="1389" spans="2:6">
      <c r="B1389" s="51"/>
      <c r="C1389" s="51"/>
      <c r="D1389" s="51"/>
      <c r="F1389" s="51"/>
    </row>
    <row r="1390" spans="2:6">
      <c r="B1390" s="51"/>
      <c r="C1390" s="51"/>
      <c r="D1390" s="51"/>
      <c r="F1390" s="51"/>
    </row>
    <row r="1391" spans="2:6">
      <c r="B1391" s="51"/>
      <c r="C1391" s="51"/>
      <c r="D1391" s="51"/>
      <c r="F1391" s="51"/>
    </row>
    <row r="1392" spans="2:6">
      <c r="B1392" s="51"/>
      <c r="C1392" s="51"/>
      <c r="D1392" s="51"/>
      <c r="F1392" s="51"/>
    </row>
    <row r="1393" spans="2:6">
      <c r="B1393" s="51"/>
      <c r="C1393" s="51"/>
      <c r="D1393" s="51"/>
      <c r="F1393" s="51"/>
    </row>
    <row r="1394" spans="2:6">
      <c r="B1394" s="51"/>
      <c r="C1394" s="51"/>
      <c r="D1394" s="51"/>
      <c r="F1394" s="51"/>
    </row>
    <row r="1395" spans="2:6">
      <c r="B1395" s="51"/>
      <c r="C1395" s="51"/>
      <c r="D1395" s="51"/>
      <c r="F1395" s="51"/>
    </row>
    <row r="1396" spans="2:6">
      <c r="B1396" s="51"/>
      <c r="C1396" s="51"/>
      <c r="D1396" s="51"/>
      <c r="F1396" s="51"/>
    </row>
    <row r="1397" spans="2:6">
      <c r="B1397" s="51"/>
      <c r="C1397" s="51"/>
      <c r="D1397" s="51"/>
      <c r="F1397" s="51"/>
    </row>
    <row r="1398" spans="2:6">
      <c r="B1398" s="51"/>
      <c r="C1398" s="51"/>
      <c r="D1398" s="51"/>
      <c r="F1398" s="51"/>
    </row>
    <row r="1399" spans="2:6">
      <c r="B1399" s="51"/>
      <c r="C1399" s="51"/>
      <c r="D1399" s="51"/>
      <c r="F1399" s="51"/>
    </row>
    <row r="1400" spans="2:6">
      <c r="B1400" s="51"/>
      <c r="C1400" s="51"/>
      <c r="D1400" s="51"/>
      <c r="F1400" s="51"/>
    </row>
    <row r="1401" spans="2:6">
      <c r="B1401" s="51"/>
      <c r="C1401" s="51"/>
      <c r="D1401" s="51"/>
      <c r="F1401" s="51"/>
    </row>
    <row r="1402" spans="2:6">
      <c r="B1402" s="51"/>
      <c r="C1402" s="51"/>
      <c r="D1402" s="51"/>
      <c r="F1402" s="51"/>
    </row>
    <row r="1403" spans="2:6">
      <c r="B1403" s="51"/>
      <c r="C1403" s="51"/>
      <c r="D1403" s="51"/>
      <c r="F1403" s="51"/>
    </row>
    <row r="1404" spans="2:6">
      <c r="B1404" s="51"/>
      <c r="C1404" s="51"/>
      <c r="D1404" s="51"/>
      <c r="F1404" s="51"/>
    </row>
    <row r="1405" spans="2:6">
      <c r="B1405" s="51"/>
      <c r="C1405" s="51"/>
      <c r="D1405" s="51"/>
      <c r="F1405" s="51"/>
    </row>
    <row r="1406" spans="2:6">
      <c r="B1406" s="51"/>
      <c r="C1406" s="51"/>
      <c r="D1406" s="51"/>
      <c r="F1406" s="51"/>
    </row>
    <row r="1407" spans="2:6">
      <c r="B1407" s="51"/>
      <c r="C1407" s="51"/>
      <c r="D1407" s="51"/>
      <c r="F1407" s="51"/>
    </row>
    <row r="1408" spans="2:6">
      <c r="B1408" s="51"/>
      <c r="C1408" s="51"/>
      <c r="D1408" s="51"/>
      <c r="F1408" s="51"/>
    </row>
    <row r="1409" spans="2:6">
      <c r="B1409" s="51"/>
      <c r="C1409" s="51"/>
      <c r="D1409" s="51"/>
      <c r="F1409" s="51"/>
    </row>
    <row r="1410" spans="2:6">
      <c r="B1410" s="51"/>
      <c r="C1410" s="51"/>
      <c r="D1410" s="51"/>
      <c r="F1410" s="51"/>
    </row>
    <row r="1411" spans="2:6">
      <c r="B1411" s="51"/>
      <c r="C1411" s="51"/>
      <c r="D1411" s="51"/>
      <c r="F1411" s="51"/>
    </row>
    <row r="1412" spans="2:6">
      <c r="B1412" s="51"/>
      <c r="C1412" s="51"/>
      <c r="D1412" s="51"/>
      <c r="F1412" s="51"/>
    </row>
    <row r="1413" spans="2:6">
      <c r="B1413" s="51"/>
      <c r="C1413" s="51"/>
      <c r="D1413" s="51"/>
      <c r="F1413" s="51"/>
    </row>
    <row r="1414" spans="2:6">
      <c r="B1414" s="51"/>
      <c r="C1414" s="51"/>
      <c r="D1414" s="51"/>
      <c r="F1414" s="51"/>
    </row>
    <row r="1415" spans="2:6">
      <c r="B1415" s="51"/>
      <c r="C1415" s="51"/>
      <c r="D1415" s="51"/>
      <c r="F1415" s="51"/>
    </row>
    <row r="1416" spans="2:6">
      <c r="B1416" s="51"/>
      <c r="C1416" s="51"/>
      <c r="D1416" s="51"/>
      <c r="F1416" s="51"/>
    </row>
    <row r="1417" spans="2:6">
      <c r="B1417" s="51"/>
      <c r="C1417" s="51"/>
      <c r="D1417" s="51"/>
      <c r="F1417" s="51"/>
    </row>
    <row r="1418" spans="2:6">
      <c r="B1418" s="51"/>
      <c r="C1418" s="51"/>
      <c r="D1418" s="51"/>
      <c r="F1418" s="51"/>
    </row>
    <row r="1419" spans="2:6">
      <c r="B1419" s="51"/>
      <c r="C1419" s="51"/>
      <c r="D1419" s="51"/>
      <c r="F1419" s="51"/>
    </row>
    <row r="1420" spans="2:6">
      <c r="B1420" s="51"/>
      <c r="C1420" s="51"/>
      <c r="D1420" s="51"/>
      <c r="F1420" s="51"/>
    </row>
    <row r="1421" spans="2:6">
      <c r="B1421" s="51"/>
      <c r="C1421" s="51"/>
      <c r="D1421" s="51"/>
      <c r="F1421" s="51"/>
    </row>
    <row r="1422" spans="2:6">
      <c r="B1422" s="51"/>
      <c r="C1422" s="51"/>
      <c r="D1422" s="51"/>
      <c r="F1422" s="51"/>
    </row>
    <row r="1423" spans="2:6">
      <c r="B1423" s="51"/>
      <c r="C1423" s="51"/>
      <c r="D1423" s="51"/>
      <c r="F1423" s="51"/>
    </row>
    <row r="1424" spans="2:6">
      <c r="B1424" s="51"/>
      <c r="C1424" s="51"/>
      <c r="D1424" s="51"/>
      <c r="F1424" s="51"/>
    </row>
    <row r="1425" spans="2:6">
      <c r="B1425" s="51"/>
      <c r="C1425" s="51"/>
      <c r="D1425" s="51"/>
      <c r="F1425" s="51"/>
    </row>
    <row r="1426" spans="2:6">
      <c r="B1426" s="51"/>
      <c r="C1426" s="51"/>
      <c r="D1426" s="51"/>
      <c r="F1426" s="51"/>
    </row>
    <row r="1427" spans="2:6">
      <c r="B1427" s="51"/>
      <c r="C1427" s="51"/>
      <c r="D1427" s="51"/>
      <c r="F1427" s="51"/>
    </row>
    <row r="1428" spans="2:6">
      <c r="B1428" s="51"/>
      <c r="C1428" s="51"/>
      <c r="D1428" s="51"/>
      <c r="F1428" s="51"/>
    </row>
    <row r="1429" spans="2:6">
      <c r="B1429" s="51"/>
      <c r="C1429" s="51"/>
      <c r="D1429" s="51"/>
      <c r="F1429" s="51"/>
    </row>
    <row r="1430" spans="2:6">
      <c r="B1430" s="51"/>
      <c r="C1430" s="51"/>
      <c r="D1430" s="51"/>
      <c r="F1430" s="51"/>
    </row>
    <row r="1431" spans="2:6">
      <c r="B1431" s="51"/>
      <c r="C1431" s="51"/>
      <c r="D1431" s="51"/>
      <c r="F1431" s="51"/>
    </row>
    <row r="1432" spans="2:6">
      <c r="B1432" s="51"/>
      <c r="C1432" s="51"/>
      <c r="D1432" s="51"/>
      <c r="F1432" s="51"/>
    </row>
    <row r="1433" spans="2:6">
      <c r="B1433" s="51"/>
      <c r="C1433" s="51"/>
      <c r="D1433" s="51"/>
      <c r="F1433" s="51"/>
    </row>
    <row r="1434" spans="2:6">
      <c r="B1434" s="51"/>
      <c r="C1434" s="51"/>
      <c r="D1434" s="51"/>
      <c r="F1434" s="51"/>
    </row>
    <row r="1435" spans="2:6">
      <c r="B1435" s="51"/>
      <c r="C1435" s="51"/>
      <c r="D1435" s="51"/>
      <c r="F1435" s="51"/>
    </row>
    <row r="1436" spans="2:6">
      <c r="B1436" s="51"/>
      <c r="C1436" s="51"/>
      <c r="D1436" s="51"/>
      <c r="F1436" s="51"/>
    </row>
    <row r="1437" spans="2:6">
      <c r="B1437" s="51"/>
      <c r="C1437" s="51"/>
      <c r="D1437" s="51"/>
      <c r="F1437" s="51"/>
    </row>
    <row r="1438" spans="2:6">
      <c r="B1438" s="51"/>
      <c r="C1438" s="51"/>
      <c r="D1438" s="51"/>
      <c r="F1438" s="51"/>
    </row>
    <row r="1439" spans="2:6">
      <c r="B1439" s="51"/>
      <c r="C1439" s="51"/>
      <c r="D1439" s="51"/>
      <c r="F1439" s="51"/>
    </row>
    <row r="1440" spans="2:6">
      <c r="B1440" s="51"/>
      <c r="C1440" s="51"/>
      <c r="D1440" s="51"/>
      <c r="F1440" s="51"/>
    </row>
    <row r="1441" spans="2:6">
      <c r="B1441" s="51"/>
      <c r="C1441" s="51"/>
      <c r="D1441" s="51"/>
      <c r="F1441" s="51"/>
    </row>
    <row r="1442" spans="2:6">
      <c r="B1442" s="51"/>
      <c r="C1442" s="51"/>
      <c r="D1442" s="51"/>
      <c r="F1442" s="51"/>
    </row>
    <row r="1443" spans="2:6">
      <c r="B1443" s="51"/>
      <c r="C1443" s="51"/>
      <c r="D1443" s="51"/>
      <c r="F1443" s="51"/>
    </row>
    <row r="1444" spans="2:6">
      <c r="B1444" s="51"/>
      <c r="C1444" s="51"/>
      <c r="D1444" s="51"/>
      <c r="F1444" s="51"/>
    </row>
    <row r="1445" spans="2:6">
      <c r="B1445" s="51"/>
      <c r="C1445" s="51"/>
      <c r="D1445" s="51"/>
      <c r="F1445" s="51"/>
    </row>
    <row r="1446" spans="2:6">
      <c r="B1446" s="51"/>
      <c r="C1446" s="51"/>
      <c r="D1446" s="51"/>
      <c r="F1446" s="51"/>
    </row>
    <row r="1447" spans="2:6">
      <c r="B1447" s="51"/>
      <c r="C1447" s="51"/>
      <c r="D1447" s="51"/>
      <c r="F1447" s="51"/>
    </row>
    <row r="1448" spans="2:6">
      <c r="B1448" s="51"/>
      <c r="C1448" s="51"/>
      <c r="D1448" s="51"/>
      <c r="F1448" s="51"/>
    </row>
    <row r="1449" spans="2:6">
      <c r="B1449" s="51"/>
      <c r="C1449" s="51"/>
      <c r="D1449" s="51"/>
      <c r="F1449" s="51"/>
    </row>
    <row r="1450" spans="2:6">
      <c r="B1450" s="51"/>
      <c r="C1450" s="51"/>
      <c r="D1450" s="51"/>
      <c r="F1450" s="51"/>
    </row>
    <row r="1451" spans="2:6">
      <c r="B1451" s="51"/>
      <c r="C1451" s="51"/>
      <c r="D1451" s="51"/>
      <c r="F1451" s="51"/>
    </row>
    <row r="1452" spans="2:6">
      <c r="B1452" s="51"/>
      <c r="C1452" s="51"/>
      <c r="D1452" s="51"/>
      <c r="F1452" s="51"/>
    </row>
    <row r="1453" spans="2:6">
      <c r="B1453" s="51"/>
      <c r="C1453" s="51"/>
      <c r="D1453" s="51"/>
      <c r="F1453" s="51"/>
    </row>
    <row r="1454" spans="2:6">
      <c r="B1454" s="51"/>
      <c r="C1454" s="51"/>
      <c r="D1454" s="51"/>
      <c r="F1454" s="51"/>
    </row>
    <row r="1455" spans="2:6">
      <c r="B1455" s="51"/>
      <c r="C1455" s="51"/>
      <c r="D1455" s="51"/>
      <c r="F1455" s="51"/>
    </row>
    <row r="1456" spans="2:6">
      <c r="B1456" s="51"/>
      <c r="C1456" s="51"/>
      <c r="D1456" s="51"/>
      <c r="F1456" s="51"/>
    </row>
    <row r="1457" spans="2:6">
      <c r="B1457" s="51"/>
      <c r="C1457" s="51"/>
      <c r="D1457" s="51"/>
      <c r="F1457" s="51"/>
    </row>
    <row r="1458" spans="2:6">
      <c r="B1458" s="51"/>
      <c r="C1458" s="51"/>
      <c r="D1458" s="51"/>
      <c r="F1458" s="51"/>
    </row>
    <row r="1459" spans="2:6">
      <c r="B1459" s="51"/>
      <c r="C1459" s="51"/>
      <c r="D1459" s="51"/>
      <c r="F1459" s="51"/>
    </row>
    <row r="1460" spans="2:6">
      <c r="B1460" s="51"/>
      <c r="C1460" s="51"/>
      <c r="D1460" s="51"/>
      <c r="F1460" s="51"/>
    </row>
    <row r="1461" spans="2:6">
      <c r="B1461" s="51"/>
      <c r="C1461" s="51"/>
      <c r="D1461" s="51"/>
      <c r="F1461" s="51"/>
    </row>
    <row r="1462" spans="2:6">
      <c r="B1462" s="51"/>
      <c r="C1462" s="51"/>
      <c r="D1462" s="51"/>
      <c r="F1462" s="51"/>
    </row>
    <row r="1463" spans="2:6">
      <c r="B1463" s="51"/>
      <c r="C1463" s="51"/>
      <c r="D1463" s="51"/>
      <c r="F1463" s="51"/>
    </row>
    <row r="1464" spans="2:6">
      <c r="B1464" s="51"/>
      <c r="C1464" s="51"/>
      <c r="D1464" s="51"/>
      <c r="F1464" s="51"/>
    </row>
    <row r="1465" spans="2:6">
      <c r="B1465" s="51"/>
      <c r="C1465" s="51"/>
      <c r="D1465" s="51"/>
      <c r="F1465" s="51"/>
    </row>
    <row r="1466" spans="2:6">
      <c r="B1466" s="51"/>
      <c r="C1466" s="51"/>
      <c r="D1466" s="51"/>
      <c r="F1466" s="51"/>
    </row>
    <row r="1467" spans="2:6">
      <c r="B1467" s="51"/>
      <c r="C1467" s="51"/>
      <c r="D1467" s="51"/>
      <c r="F1467" s="51"/>
    </row>
    <row r="1468" spans="2:6">
      <c r="B1468" s="51"/>
      <c r="C1468" s="51"/>
      <c r="D1468" s="51"/>
      <c r="F1468" s="51"/>
    </row>
    <row r="1469" spans="2:6">
      <c r="B1469" s="51"/>
      <c r="C1469" s="51"/>
      <c r="D1469" s="51"/>
      <c r="F1469" s="51"/>
    </row>
    <row r="1470" spans="2:6">
      <c r="B1470" s="51"/>
      <c r="C1470" s="51"/>
      <c r="D1470" s="51"/>
      <c r="F1470" s="51"/>
    </row>
    <row r="1471" spans="2:6">
      <c r="B1471" s="51"/>
      <c r="C1471" s="51"/>
      <c r="D1471" s="51"/>
      <c r="F1471" s="51"/>
    </row>
    <row r="1472" spans="2:6">
      <c r="B1472" s="51"/>
      <c r="C1472" s="51"/>
      <c r="D1472" s="51"/>
      <c r="F1472" s="51"/>
    </row>
    <row r="1473" spans="2:6">
      <c r="B1473" s="51"/>
      <c r="C1473" s="51"/>
      <c r="D1473" s="51"/>
      <c r="F1473" s="51"/>
    </row>
    <row r="1474" spans="2:6">
      <c r="B1474" s="51"/>
      <c r="C1474" s="51"/>
      <c r="D1474" s="51"/>
      <c r="F1474" s="51"/>
    </row>
    <row r="1475" spans="2:6">
      <c r="B1475" s="51"/>
      <c r="C1475" s="51"/>
      <c r="D1475" s="51"/>
      <c r="F1475" s="51"/>
    </row>
    <row r="1476" spans="2:6">
      <c r="B1476" s="51"/>
      <c r="C1476" s="51"/>
      <c r="D1476" s="51"/>
      <c r="F1476" s="51"/>
    </row>
    <row r="1477" spans="2:6">
      <c r="B1477" s="51"/>
      <c r="C1477" s="51"/>
      <c r="D1477" s="51"/>
      <c r="F1477" s="51"/>
    </row>
    <row r="1478" spans="2:6">
      <c r="B1478" s="51"/>
      <c r="C1478" s="51"/>
      <c r="D1478" s="51"/>
      <c r="F1478" s="51"/>
    </row>
    <row r="1479" spans="2:6">
      <c r="B1479" s="51"/>
      <c r="C1479" s="51"/>
      <c r="D1479" s="51"/>
      <c r="F1479" s="51"/>
    </row>
    <row r="1480" spans="2:6">
      <c r="B1480" s="51"/>
      <c r="C1480" s="51"/>
      <c r="D1480" s="51"/>
      <c r="F1480" s="51"/>
    </row>
    <row r="1481" spans="2:6">
      <c r="B1481" s="51"/>
      <c r="C1481" s="51"/>
      <c r="D1481" s="51"/>
      <c r="F1481" s="51"/>
    </row>
    <row r="1482" spans="2:6">
      <c r="B1482" s="51"/>
      <c r="C1482" s="51"/>
      <c r="D1482" s="51"/>
      <c r="F1482" s="51"/>
    </row>
    <row r="1483" spans="2:6">
      <c r="B1483" s="51"/>
      <c r="C1483" s="51"/>
      <c r="D1483" s="51"/>
      <c r="F1483" s="51"/>
    </row>
    <row r="1484" spans="2:6">
      <c r="B1484" s="51"/>
      <c r="C1484" s="51"/>
      <c r="D1484" s="51"/>
      <c r="F1484" s="51"/>
    </row>
    <row r="1485" spans="2:6">
      <c r="B1485" s="51"/>
      <c r="C1485" s="51"/>
      <c r="D1485" s="51"/>
      <c r="F1485" s="51"/>
    </row>
    <row r="1486" spans="2:6">
      <c r="B1486" s="51"/>
      <c r="C1486" s="51"/>
      <c r="D1486" s="51"/>
      <c r="F1486" s="51"/>
    </row>
    <row r="1487" spans="2:6">
      <c r="B1487" s="51"/>
      <c r="C1487" s="51"/>
      <c r="D1487" s="51"/>
      <c r="F1487" s="51"/>
    </row>
    <row r="1488" spans="2:6">
      <c r="B1488" s="51"/>
      <c r="C1488" s="51"/>
      <c r="D1488" s="51"/>
      <c r="F1488" s="51"/>
    </row>
    <row r="1489" spans="2:6">
      <c r="B1489" s="51"/>
      <c r="C1489" s="51"/>
      <c r="D1489" s="51"/>
      <c r="F1489" s="51"/>
    </row>
    <row r="1490" spans="2:6">
      <c r="B1490" s="51"/>
      <c r="C1490" s="51"/>
      <c r="D1490" s="51"/>
      <c r="F1490" s="51"/>
    </row>
    <row r="1491" spans="2:6">
      <c r="B1491" s="51"/>
      <c r="C1491" s="51"/>
      <c r="D1491" s="51"/>
      <c r="F1491" s="51"/>
    </row>
    <row r="1492" spans="2:6">
      <c r="B1492" s="51"/>
      <c r="C1492" s="51"/>
      <c r="D1492" s="51"/>
      <c r="F1492" s="51"/>
    </row>
    <row r="1493" spans="2:6">
      <c r="B1493" s="51"/>
      <c r="C1493" s="51"/>
      <c r="D1493" s="51"/>
      <c r="F1493" s="51"/>
    </row>
    <row r="1494" spans="2:6">
      <c r="B1494" s="51"/>
      <c r="C1494" s="51"/>
      <c r="D1494" s="51"/>
      <c r="F1494" s="51"/>
    </row>
    <row r="1495" spans="2:6">
      <c r="B1495" s="51"/>
      <c r="C1495" s="51"/>
      <c r="D1495" s="51"/>
      <c r="F1495" s="51"/>
    </row>
    <row r="1496" spans="2:6">
      <c r="B1496" s="51"/>
      <c r="C1496" s="51"/>
      <c r="D1496" s="51"/>
      <c r="F1496" s="51"/>
    </row>
    <row r="1497" spans="2:6">
      <c r="B1497" s="51"/>
      <c r="C1497" s="51"/>
      <c r="D1497" s="51"/>
      <c r="F1497" s="51"/>
    </row>
    <row r="1498" spans="2:6">
      <c r="B1498" s="51"/>
      <c r="C1498" s="51"/>
      <c r="D1498" s="51"/>
      <c r="F1498" s="51"/>
    </row>
    <row r="1499" spans="2:6">
      <c r="B1499" s="51"/>
      <c r="C1499" s="51"/>
      <c r="D1499" s="51"/>
      <c r="F1499" s="51"/>
    </row>
    <row r="1500" spans="2:6">
      <c r="B1500" s="51"/>
      <c r="C1500" s="51"/>
      <c r="D1500" s="51"/>
      <c r="F1500" s="51"/>
    </row>
    <row r="1501" spans="2:6">
      <c r="B1501" s="51"/>
      <c r="C1501" s="51"/>
      <c r="D1501" s="51"/>
      <c r="F1501" s="51"/>
    </row>
    <row r="1502" spans="2:6">
      <c r="B1502" s="51"/>
      <c r="C1502" s="51"/>
      <c r="D1502" s="51"/>
      <c r="F1502" s="51"/>
    </row>
    <row r="1503" spans="2:6">
      <c r="B1503" s="51"/>
      <c r="C1503" s="51"/>
      <c r="D1503" s="51"/>
      <c r="F1503" s="51"/>
    </row>
    <row r="1504" spans="2:6">
      <c r="B1504" s="51"/>
      <c r="C1504" s="51"/>
      <c r="D1504" s="51"/>
      <c r="F1504" s="51"/>
    </row>
    <row r="1505" spans="2:6">
      <c r="B1505" s="51"/>
      <c r="C1505" s="51"/>
      <c r="D1505" s="51"/>
      <c r="F1505" s="51"/>
    </row>
    <row r="1506" spans="2:6">
      <c r="B1506" s="51"/>
      <c r="C1506" s="51"/>
      <c r="D1506" s="51"/>
      <c r="F1506" s="51"/>
    </row>
    <row r="1507" spans="2:6">
      <c r="B1507" s="51"/>
      <c r="C1507" s="51"/>
      <c r="D1507" s="51"/>
      <c r="F1507" s="51"/>
    </row>
    <row r="1508" spans="2:6">
      <c r="B1508" s="51"/>
      <c r="C1508" s="51"/>
      <c r="D1508" s="51"/>
      <c r="F1508" s="51"/>
    </row>
    <row r="1509" spans="2:6">
      <c r="B1509" s="51"/>
      <c r="C1509" s="51"/>
      <c r="D1509" s="51"/>
      <c r="F1509" s="51"/>
    </row>
    <row r="1510" spans="2:6">
      <c r="B1510" s="51"/>
      <c r="C1510" s="51"/>
      <c r="D1510" s="51"/>
      <c r="F1510" s="51"/>
    </row>
    <row r="1511" spans="2:6">
      <c r="B1511" s="51"/>
      <c r="C1511" s="51"/>
      <c r="D1511" s="51"/>
      <c r="F1511" s="51"/>
    </row>
    <row r="1512" spans="2:6">
      <c r="B1512" s="51"/>
      <c r="C1512" s="51"/>
      <c r="D1512" s="51"/>
      <c r="F1512" s="51"/>
    </row>
    <row r="1513" spans="2:6">
      <c r="B1513" s="51"/>
      <c r="C1513" s="51"/>
      <c r="D1513" s="51"/>
      <c r="F1513" s="51"/>
    </row>
    <row r="1514" spans="2:6">
      <c r="B1514" s="51"/>
      <c r="C1514" s="51"/>
      <c r="D1514" s="51"/>
      <c r="F1514" s="51"/>
    </row>
    <row r="1515" spans="2:6">
      <c r="B1515" s="51"/>
      <c r="C1515" s="51"/>
      <c r="D1515" s="51"/>
      <c r="F1515" s="51"/>
    </row>
    <row r="1516" spans="2:6">
      <c r="B1516" s="51"/>
      <c r="C1516" s="51"/>
      <c r="D1516" s="51"/>
      <c r="F1516" s="51"/>
    </row>
    <row r="1517" spans="2:6">
      <c r="B1517" s="51"/>
      <c r="C1517" s="51"/>
      <c r="D1517" s="51"/>
      <c r="F1517" s="51"/>
    </row>
    <row r="1518" spans="2:6">
      <c r="B1518" s="51"/>
      <c r="C1518" s="51"/>
      <c r="D1518" s="51"/>
      <c r="F1518" s="51"/>
    </row>
    <row r="1519" spans="2:6">
      <c r="B1519" s="51"/>
      <c r="C1519" s="51"/>
      <c r="D1519" s="51"/>
      <c r="F1519" s="51"/>
    </row>
    <row r="1520" spans="2:6">
      <c r="B1520" s="51"/>
      <c r="C1520" s="51"/>
      <c r="D1520" s="51"/>
      <c r="F1520" s="51"/>
    </row>
    <row r="1521" spans="2:6">
      <c r="B1521" s="51"/>
      <c r="C1521" s="51"/>
      <c r="D1521" s="51"/>
      <c r="F1521" s="51"/>
    </row>
    <row r="1522" spans="2:6">
      <c r="B1522" s="51"/>
      <c r="C1522" s="51"/>
      <c r="D1522" s="51"/>
      <c r="F1522" s="51"/>
    </row>
    <row r="1523" spans="2:6">
      <c r="B1523" s="51"/>
      <c r="C1523" s="51"/>
      <c r="D1523" s="51"/>
      <c r="F1523" s="51"/>
    </row>
    <row r="1524" spans="2:6">
      <c r="B1524" s="51"/>
      <c r="C1524" s="51"/>
      <c r="D1524" s="51"/>
      <c r="F1524" s="51"/>
    </row>
    <row r="1525" spans="2:6">
      <c r="B1525" s="51"/>
      <c r="C1525" s="51"/>
      <c r="D1525" s="51"/>
      <c r="F1525" s="51"/>
    </row>
    <row r="1526" spans="2:6">
      <c r="B1526" s="51"/>
      <c r="C1526" s="51"/>
      <c r="D1526" s="51"/>
      <c r="F1526" s="51"/>
    </row>
    <row r="1527" spans="2:6">
      <c r="B1527" s="51"/>
      <c r="C1527" s="51"/>
      <c r="D1527" s="51"/>
      <c r="F1527" s="51"/>
    </row>
    <row r="1528" spans="2:6">
      <c r="B1528" s="51"/>
      <c r="C1528" s="51"/>
      <c r="D1528" s="51"/>
      <c r="F1528" s="51"/>
    </row>
    <row r="1529" spans="2:6">
      <c r="B1529" s="51"/>
      <c r="C1529" s="51"/>
      <c r="D1529" s="51"/>
      <c r="F1529" s="51"/>
    </row>
    <row r="1530" spans="2:6">
      <c r="B1530" s="51"/>
      <c r="C1530" s="51"/>
      <c r="D1530" s="51"/>
      <c r="F1530" s="51"/>
    </row>
    <row r="1531" spans="2:6">
      <c r="B1531" s="51"/>
      <c r="C1531" s="51"/>
      <c r="D1531" s="51"/>
      <c r="F1531" s="51"/>
    </row>
    <row r="1532" spans="2:6">
      <c r="B1532" s="51"/>
      <c r="C1532" s="51"/>
      <c r="D1532" s="51"/>
      <c r="F1532" s="51"/>
    </row>
    <row r="1533" spans="2:6">
      <c r="B1533" s="51"/>
      <c r="C1533" s="51"/>
      <c r="D1533" s="51"/>
      <c r="F1533" s="51"/>
    </row>
    <row r="1534" spans="2:6">
      <c r="B1534" s="51"/>
      <c r="C1534" s="51"/>
      <c r="D1534" s="51"/>
      <c r="F1534" s="51"/>
    </row>
    <row r="1535" spans="2:6">
      <c r="B1535" s="51"/>
      <c r="C1535" s="51"/>
      <c r="D1535" s="51"/>
      <c r="F1535" s="51"/>
    </row>
    <row r="1536" spans="2:6">
      <c r="B1536" s="51"/>
      <c r="C1536" s="51"/>
      <c r="D1536" s="51"/>
      <c r="F1536" s="51"/>
    </row>
    <row r="1537" spans="2:6">
      <c r="B1537" s="51"/>
      <c r="C1537" s="51"/>
      <c r="D1537" s="51"/>
      <c r="F1537" s="51"/>
    </row>
    <row r="1538" spans="2:6">
      <c r="B1538" s="51"/>
      <c r="C1538" s="51"/>
      <c r="D1538" s="51"/>
      <c r="F1538" s="51"/>
    </row>
    <row r="1539" spans="2:6">
      <c r="B1539" s="51"/>
      <c r="C1539" s="51"/>
      <c r="D1539" s="51"/>
      <c r="F1539" s="51"/>
    </row>
    <row r="1540" spans="2:6">
      <c r="B1540" s="51"/>
      <c r="C1540" s="51"/>
      <c r="D1540" s="51"/>
      <c r="F1540" s="51"/>
    </row>
    <row r="1541" spans="2:6">
      <c r="B1541" s="51"/>
      <c r="C1541" s="51"/>
      <c r="D1541" s="51"/>
      <c r="F1541" s="51"/>
    </row>
    <row r="1542" spans="2:6">
      <c r="B1542" s="51"/>
      <c r="C1542" s="51"/>
      <c r="D1542" s="51"/>
      <c r="F1542" s="51"/>
    </row>
    <row r="1543" spans="2:6">
      <c r="B1543" s="51"/>
      <c r="C1543" s="51"/>
      <c r="D1543" s="51"/>
      <c r="F1543" s="51"/>
    </row>
    <row r="1544" spans="2:6">
      <c r="B1544" s="51"/>
      <c r="C1544" s="51"/>
      <c r="D1544" s="51"/>
      <c r="F1544" s="51"/>
    </row>
    <row r="1545" spans="2:6">
      <c r="B1545" s="51"/>
      <c r="C1545" s="51"/>
      <c r="D1545" s="51"/>
      <c r="F1545" s="51"/>
    </row>
    <row r="1546" spans="2:6">
      <c r="B1546" s="51"/>
      <c r="C1546" s="51"/>
      <c r="D1546" s="51"/>
      <c r="F1546" s="51"/>
    </row>
    <row r="1547" spans="2:6">
      <c r="B1547" s="51"/>
      <c r="C1547" s="51"/>
      <c r="D1547" s="51"/>
      <c r="F1547" s="51"/>
    </row>
    <row r="1548" spans="2:6">
      <c r="B1548" s="51"/>
      <c r="C1548" s="51"/>
      <c r="D1548" s="51"/>
      <c r="F1548" s="51"/>
    </row>
    <row r="1549" spans="2:6">
      <c r="B1549" s="51"/>
      <c r="C1549" s="51"/>
      <c r="D1549" s="51"/>
      <c r="F1549" s="51"/>
    </row>
    <row r="1550" spans="2:6">
      <c r="B1550" s="51"/>
      <c r="C1550" s="51"/>
      <c r="D1550" s="51"/>
      <c r="F1550" s="51"/>
    </row>
    <row r="1551" spans="2:6">
      <c r="B1551" s="51"/>
      <c r="C1551" s="51"/>
      <c r="D1551" s="51"/>
      <c r="F1551" s="51"/>
    </row>
    <row r="1552" spans="2:6">
      <c r="B1552" s="51"/>
      <c r="C1552" s="51"/>
      <c r="D1552" s="51"/>
      <c r="F1552" s="51"/>
    </row>
    <row r="1553" spans="2:6">
      <c r="B1553" s="51"/>
      <c r="C1553" s="51"/>
      <c r="D1553" s="51"/>
      <c r="F1553" s="51"/>
    </row>
    <row r="1554" spans="2:6">
      <c r="B1554" s="51"/>
      <c r="C1554" s="51"/>
      <c r="D1554" s="51"/>
      <c r="F1554" s="51"/>
    </row>
    <row r="1555" spans="2:6">
      <c r="B1555" s="51"/>
      <c r="C1555" s="51"/>
      <c r="D1555" s="51"/>
      <c r="F1555" s="51"/>
    </row>
    <row r="1556" spans="2:6">
      <c r="B1556" s="51"/>
      <c r="C1556" s="51"/>
      <c r="D1556" s="51"/>
      <c r="F1556" s="51"/>
    </row>
    <row r="1557" spans="2:6">
      <c r="B1557" s="51"/>
      <c r="C1557" s="51"/>
      <c r="D1557" s="51"/>
      <c r="F1557" s="51"/>
    </row>
    <row r="1558" spans="2:6">
      <c r="B1558" s="51"/>
      <c r="C1558" s="51"/>
      <c r="D1558" s="51"/>
      <c r="F1558" s="51"/>
    </row>
    <row r="1559" spans="2:6">
      <c r="B1559" s="51"/>
      <c r="C1559" s="51"/>
      <c r="D1559" s="51"/>
      <c r="F1559" s="51"/>
    </row>
    <row r="1560" spans="2:6">
      <c r="B1560" s="51"/>
      <c r="C1560" s="51"/>
      <c r="D1560" s="51"/>
      <c r="F1560" s="51"/>
    </row>
    <row r="1561" spans="2:6">
      <c r="B1561" s="51"/>
      <c r="C1561" s="51"/>
      <c r="D1561" s="51"/>
      <c r="F1561" s="51"/>
    </row>
    <row r="1562" spans="2:6">
      <c r="B1562" s="51"/>
      <c r="C1562" s="51"/>
      <c r="D1562" s="51"/>
      <c r="F1562" s="51"/>
    </row>
    <row r="1563" spans="2:6">
      <c r="B1563" s="51"/>
      <c r="C1563" s="51"/>
      <c r="D1563" s="51"/>
      <c r="F1563" s="51"/>
    </row>
    <row r="1564" spans="2:6">
      <c r="B1564" s="51"/>
      <c r="C1564" s="51"/>
      <c r="D1564" s="51"/>
      <c r="F1564" s="51"/>
    </row>
    <row r="1565" spans="2:6">
      <c r="B1565" s="51"/>
      <c r="C1565" s="51"/>
      <c r="D1565" s="51"/>
      <c r="F1565" s="51"/>
    </row>
    <row r="1566" spans="2:6">
      <c r="B1566" s="51"/>
      <c r="C1566" s="51"/>
      <c r="D1566" s="51"/>
      <c r="F1566" s="51"/>
    </row>
    <row r="1567" spans="2:6">
      <c r="B1567" s="51"/>
      <c r="C1567" s="51"/>
      <c r="D1567" s="51"/>
      <c r="F1567" s="51"/>
    </row>
    <row r="1568" spans="2:6">
      <c r="B1568" s="51"/>
      <c r="C1568" s="51"/>
      <c r="D1568" s="51"/>
      <c r="F1568" s="51"/>
    </row>
    <row r="1569" spans="2:6">
      <c r="B1569" s="51"/>
      <c r="C1569" s="51"/>
      <c r="D1569" s="51"/>
      <c r="F1569" s="51"/>
    </row>
    <row r="1570" spans="2:6">
      <c r="B1570" s="51"/>
      <c r="C1570" s="51"/>
      <c r="D1570" s="51"/>
      <c r="F1570" s="51"/>
    </row>
    <row r="1571" spans="2:6">
      <c r="B1571" s="51"/>
      <c r="C1571" s="51"/>
      <c r="D1571" s="51"/>
      <c r="F1571" s="51"/>
    </row>
    <row r="1572" spans="2:6">
      <c r="B1572" s="51"/>
      <c r="C1572" s="51"/>
      <c r="D1572" s="51"/>
      <c r="F1572" s="51"/>
    </row>
    <row r="1573" spans="2:6">
      <c r="B1573" s="51"/>
      <c r="C1573" s="51"/>
      <c r="D1573" s="51"/>
      <c r="F1573" s="51"/>
    </row>
    <row r="1574" spans="2:6">
      <c r="B1574" s="51"/>
      <c r="C1574" s="51"/>
      <c r="D1574" s="51"/>
      <c r="F1574" s="51"/>
    </row>
    <row r="1575" spans="2:6">
      <c r="B1575" s="51"/>
      <c r="C1575" s="51"/>
      <c r="D1575" s="51"/>
      <c r="F1575" s="51"/>
    </row>
    <row r="1576" spans="2:6">
      <c r="B1576" s="51"/>
      <c r="C1576" s="51"/>
      <c r="D1576" s="51"/>
      <c r="F1576" s="51"/>
    </row>
    <row r="1577" spans="2:6">
      <c r="B1577" s="51"/>
      <c r="C1577" s="51"/>
      <c r="D1577" s="51"/>
      <c r="F1577" s="51"/>
    </row>
    <row r="1578" spans="2:6">
      <c r="B1578" s="51"/>
      <c r="C1578" s="51"/>
      <c r="D1578" s="51"/>
      <c r="F1578" s="51"/>
    </row>
    <row r="1579" spans="2:6">
      <c r="B1579" s="51"/>
      <c r="C1579" s="51"/>
      <c r="D1579" s="51"/>
      <c r="F1579" s="51"/>
    </row>
    <row r="1580" spans="2:6">
      <c r="B1580" s="51"/>
      <c r="C1580" s="51"/>
      <c r="D1580" s="51"/>
      <c r="F1580" s="51"/>
    </row>
    <row r="1581" spans="2:6">
      <c r="B1581" s="51"/>
      <c r="C1581" s="51"/>
      <c r="D1581" s="51"/>
      <c r="F1581" s="51"/>
    </row>
    <row r="1582" spans="2:6">
      <c r="B1582" s="51"/>
      <c r="C1582" s="51"/>
      <c r="D1582" s="51"/>
      <c r="F1582" s="51"/>
    </row>
    <row r="1583" spans="2:6">
      <c r="B1583" s="51"/>
      <c r="C1583" s="51"/>
      <c r="D1583" s="51"/>
      <c r="F1583" s="51"/>
    </row>
    <row r="1584" spans="2:6">
      <c r="B1584" s="51"/>
      <c r="C1584" s="51"/>
      <c r="D1584" s="51"/>
      <c r="F1584" s="51"/>
    </row>
    <row r="1585" spans="2:6">
      <c r="B1585" s="51"/>
      <c r="C1585" s="51"/>
      <c r="D1585" s="51"/>
      <c r="F1585" s="51"/>
    </row>
    <row r="1586" spans="2:6">
      <c r="B1586" s="51"/>
      <c r="C1586" s="51"/>
      <c r="D1586" s="51"/>
      <c r="F1586" s="51"/>
    </row>
    <row r="1587" spans="2:6">
      <c r="B1587" s="51"/>
      <c r="C1587" s="51"/>
      <c r="D1587" s="51"/>
      <c r="F1587" s="51"/>
    </row>
    <row r="1588" spans="2:6">
      <c r="B1588" s="51"/>
      <c r="C1588" s="51"/>
      <c r="D1588" s="51"/>
      <c r="F1588" s="51"/>
    </row>
    <row r="1589" spans="2:6">
      <c r="B1589" s="51"/>
      <c r="C1589" s="51"/>
      <c r="D1589" s="51"/>
      <c r="F1589" s="51"/>
    </row>
    <row r="1590" spans="2:6">
      <c r="B1590" s="51"/>
      <c r="C1590" s="51"/>
      <c r="D1590" s="51"/>
      <c r="F1590" s="51"/>
    </row>
    <row r="1591" spans="2:6">
      <c r="B1591" s="51"/>
      <c r="C1591" s="51"/>
      <c r="D1591" s="51"/>
      <c r="F1591" s="51"/>
    </row>
    <row r="1592" spans="2:6">
      <c r="B1592" s="51"/>
      <c r="C1592" s="51"/>
      <c r="D1592" s="51"/>
      <c r="F1592" s="51"/>
    </row>
    <row r="1593" spans="2:6">
      <c r="B1593" s="51"/>
      <c r="C1593" s="51"/>
      <c r="D1593" s="51"/>
      <c r="F1593" s="51"/>
    </row>
    <row r="1594" spans="2:6">
      <c r="B1594" s="51"/>
      <c r="C1594" s="51"/>
      <c r="D1594" s="51"/>
      <c r="F1594" s="51"/>
    </row>
    <row r="1595" spans="2:6">
      <c r="B1595" s="51"/>
      <c r="C1595" s="51"/>
      <c r="D1595" s="51"/>
      <c r="F1595" s="51"/>
    </row>
    <row r="1596" spans="2:6">
      <c r="B1596" s="51"/>
      <c r="C1596" s="51"/>
      <c r="D1596" s="51"/>
      <c r="F1596" s="51"/>
    </row>
    <row r="1597" spans="2:6">
      <c r="B1597" s="51"/>
      <c r="C1597" s="51"/>
      <c r="D1597" s="51"/>
      <c r="F1597" s="51"/>
    </row>
    <row r="1598" spans="2:6">
      <c r="B1598" s="51"/>
      <c r="C1598" s="51"/>
      <c r="D1598" s="51"/>
      <c r="F1598" s="51"/>
    </row>
    <row r="1599" spans="2:6">
      <c r="B1599" s="51"/>
      <c r="C1599" s="51"/>
      <c r="D1599" s="51"/>
      <c r="F1599" s="51"/>
    </row>
    <row r="1600" spans="2:6">
      <c r="B1600" s="51"/>
      <c r="C1600" s="51"/>
      <c r="D1600" s="51"/>
      <c r="F1600" s="51"/>
    </row>
    <row r="1601" spans="2:6">
      <c r="B1601" s="51"/>
      <c r="C1601" s="51"/>
      <c r="D1601" s="51"/>
      <c r="F1601" s="51"/>
    </row>
    <row r="1602" spans="2:6">
      <c r="B1602" s="51"/>
      <c r="C1602" s="51"/>
      <c r="D1602" s="51"/>
      <c r="F1602" s="51"/>
    </row>
    <row r="1603" spans="2:6">
      <c r="B1603" s="51"/>
      <c r="C1603" s="51"/>
      <c r="D1603" s="51"/>
      <c r="F1603" s="51"/>
    </row>
    <row r="1604" spans="2:6">
      <c r="B1604" s="51"/>
      <c r="C1604" s="51"/>
      <c r="D1604" s="51"/>
      <c r="F1604" s="51"/>
    </row>
    <row r="1605" spans="2:6">
      <c r="B1605" s="51"/>
      <c r="C1605" s="51"/>
      <c r="D1605" s="51"/>
      <c r="F1605" s="51"/>
    </row>
    <row r="1606" spans="2:6">
      <c r="B1606" s="51"/>
      <c r="C1606" s="51"/>
      <c r="D1606" s="51"/>
      <c r="F1606" s="51"/>
    </row>
    <row r="1607" spans="2:6">
      <c r="B1607" s="51"/>
      <c r="C1607" s="51"/>
      <c r="D1607" s="51"/>
      <c r="F1607" s="51"/>
    </row>
    <row r="1608" spans="2:6">
      <c r="B1608" s="51"/>
      <c r="C1608" s="51"/>
      <c r="D1608" s="51"/>
      <c r="F1608" s="51"/>
    </row>
    <row r="1609" spans="2:6">
      <c r="B1609" s="51"/>
      <c r="C1609" s="51"/>
      <c r="D1609" s="51"/>
      <c r="F1609" s="51"/>
    </row>
    <row r="1610" spans="2:6">
      <c r="B1610" s="51"/>
      <c r="C1610" s="51"/>
      <c r="D1610" s="51"/>
      <c r="F1610" s="51"/>
    </row>
    <row r="1611" spans="2:6">
      <c r="B1611" s="51"/>
      <c r="C1611" s="51"/>
      <c r="D1611" s="51"/>
      <c r="F1611" s="51"/>
    </row>
    <row r="1612" spans="2:6">
      <c r="B1612" s="51"/>
      <c r="C1612" s="51"/>
      <c r="D1612" s="51"/>
      <c r="F1612" s="51"/>
    </row>
    <row r="1613" spans="2:6">
      <c r="B1613" s="51"/>
      <c r="C1613" s="51"/>
      <c r="D1613" s="51"/>
      <c r="F1613" s="51"/>
    </row>
    <row r="1614" spans="2:6">
      <c r="B1614" s="51"/>
      <c r="C1614" s="51"/>
      <c r="D1614" s="51"/>
      <c r="F1614" s="51"/>
    </row>
    <row r="1615" spans="2:6">
      <c r="B1615" s="51"/>
      <c r="C1615" s="51"/>
      <c r="D1615" s="51"/>
      <c r="F1615" s="51"/>
    </row>
    <row r="1616" spans="2:6">
      <c r="B1616" s="51"/>
      <c r="C1616" s="51"/>
      <c r="D1616" s="51"/>
      <c r="F1616" s="51"/>
    </row>
    <row r="1617" spans="2:6">
      <c r="B1617" s="51"/>
      <c r="C1617" s="51"/>
      <c r="D1617" s="51"/>
      <c r="F1617" s="51"/>
    </row>
    <row r="1618" spans="2:6">
      <c r="B1618" s="51"/>
      <c r="C1618" s="51"/>
      <c r="D1618" s="51"/>
      <c r="F1618" s="51"/>
    </row>
    <row r="1619" spans="2:6">
      <c r="B1619" s="51"/>
      <c r="C1619" s="51"/>
      <c r="D1619" s="51"/>
      <c r="F1619" s="51"/>
    </row>
    <row r="1620" spans="2:6">
      <c r="B1620" s="51"/>
      <c r="C1620" s="51"/>
      <c r="D1620" s="51"/>
      <c r="F1620" s="51"/>
    </row>
    <row r="1621" spans="2:6">
      <c r="B1621" s="51"/>
      <c r="C1621" s="51"/>
      <c r="D1621" s="51"/>
      <c r="F1621" s="51"/>
    </row>
    <row r="1622" spans="2:6">
      <c r="B1622" s="51"/>
      <c r="C1622" s="51"/>
      <c r="D1622" s="51"/>
      <c r="F1622" s="51"/>
    </row>
    <row r="1623" spans="2:6">
      <c r="B1623" s="51"/>
      <c r="C1623" s="51"/>
      <c r="D1623" s="51"/>
      <c r="F1623" s="51"/>
    </row>
    <row r="1624" spans="2:6">
      <c r="B1624" s="51"/>
      <c r="C1624" s="51"/>
      <c r="D1624" s="51"/>
      <c r="F1624" s="51"/>
    </row>
    <row r="1625" spans="2:6">
      <c r="B1625" s="51"/>
      <c r="C1625" s="51"/>
      <c r="D1625" s="51"/>
      <c r="F1625" s="51"/>
    </row>
    <row r="1626" spans="2:6">
      <c r="B1626" s="51"/>
      <c r="C1626" s="51"/>
      <c r="D1626" s="51"/>
      <c r="F1626" s="51"/>
    </row>
    <row r="1627" spans="2:6">
      <c r="B1627" s="51"/>
      <c r="C1627" s="51"/>
      <c r="D1627" s="51"/>
      <c r="F1627" s="51"/>
    </row>
    <row r="1628" spans="2:6">
      <c r="B1628" s="51"/>
      <c r="C1628" s="51"/>
      <c r="D1628" s="51"/>
      <c r="F1628" s="51"/>
    </row>
    <row r="1629" spans="2:6">
      <c r="B1629" s="51"/>
      <c r="C1629" s="51"/>
      <c r="D1629" s="51"/>
      <c r="F1629" s="51"/>
    </row>
    <row r="1630" spans="2:6">
      <c r="B1630" s="51"/>
      <c r="C1630" s="51"/>
      <c r="D1630" s="51"/>
      <c r="F1630" s="51"/>
    </row>
    <row r="1631" spans="2:6">
      <c r="B1631" s="51"/>
      <c r="C1631" s="51"/>
      <c r="D1631" s="51"/>
      <c r="F1631" s="51"/>
    </row>
    <row r="1632" spans="2:6">
      <c r="B1632" s="51"/>
      <c r="C1632" s="51"/>
      <c r="D1632" s="51"/>
      <c r="F1632" s="51"/>
    </row>
    <row r="1633" spans="2:6">
      <c r="B1633" s="51"/>
      <c r="C1633" s="51"/>
      <c r="D1633" s="51"/>
      <c r="F1633" s="51"/>
    </row>
    <row r="1634" spans="2:6">
      <c r="B1634" s="51"/>
      <c r="C1634" s="51"/>
      <c r="D1634" s="51"/>
      <c r="F1634" s="51"/>
    </row>
    <row r="1635" spans="2:6">
      <c r="B1635" s="51"/>
      <c r="C1635" s="51"/>
      <c r="D1635" s="51"/>
      <c r="F1635" s="51"/>
    </row>
    <row r="1636" spans="2:6">
      <c r="B1636" s="51"/>
      <c r="C1636" s="51"/>
      <c r="D1636" s="51"/>
      <c r="F1636" s="51"/>
    </row>
    <row r="1637" spans="2:6">
      <c r="B1637" s="51"/>
      <c r="C1637" s="51"/>
      <c r="D1637" s="51"/>
      <c r="F1637" s="51"/>
    </row>
    <row r="1638" spans="2:6">
      <c r="B1638" s="51"/>
      <c r="C1638" s="51"/>
      <c r="D1638" s="51"/>
      <c r="F1638" s="51"/>
    </row>
    <row r="1639" spans="2:6">
      <c r="B1639" s="51"/>
      <c r="C1639" s="51"/>
      <c r="D1639" s="51"/>
      <c r="F1639" s="51"/>
    </row>
    <row r="1640" spans="2:6">
      <c r="B1640" s="51"/>
      <c r="C1640" s="51"/>
      <c r="D1640" s="51"/>
      <c r="F1640" s="51"/>
    </row>
    <row r="1641" spans="2:6">
      <c r="B1641" s="51"/>
      <c r="C1641" s="51"/>
      <c r="D1641" s="51"/>
      <c r="F1641" s="51"/>
    </row>
    <row r="1642" spans="2:6">
      <c r="B1642" s="51"/>
      <c r="C1642" s="51"/>
      <c r="D1642" s="51"/>
      <c r="F1642" s="51"/>
    </row>
    <row r="1643" spans="2:6">
      <c r="B1643" s="51"/>
      <c r="C1643" s="51"/>
      <c r="D1643" s="51"/>
      <c r="F1643" s="51"/>
    </row>
    <row r="1644" spans="2:6">
      <c r="B1644" s="51"/>
      <c r="C1644" s="51"/>
      <c r="D1644" s="51"/>
      <c r="F1644" s="51"/>
    </row>
    <row r="1645" spans="2:6">
      <c r="B1645" s="51"/>
      <c r="C1645" s="51"/>
      <c r="D1645" s="51"/>
      <c r="F1645" s="51"/>
    </row>
    <row r="1646" spans="2:6">
      <c r="B1646" s="51"/>
      <c r="C1646" s="51"/>
      <c r="D1646" s="51"/>
      <c r="F1646" s="51"/>
    </row>
    <row r="1647" spans="2:6">
      <c r="B1647" s="51"/>
      <c r="C1647" s="51"/>
      <c r="D1647" s="51"/>
      <c r="F1647" s="51"/>
    </row>
    <row r="1648" spans="2:6">
      <c r="B1648" s="51"/>
      <c r="C1648" s="51"/>
      <c r="D1648" s="51"/>
      <c r="F1648" s="51"/>
    </row>
    <row r="1649" spans="2:6">
      <c r="B1649" s="51"/>
      <c r="C1649" s="51"/>
      <c r="D1649" s="51"/>
      <c r="F1649" s="51"/>
    </row>
    <row r="1650" spans="2:6">
      <c r="B1650" s="51"/>
      <c r="C1650" s="51"/>
      <c r="D1650" s="51"/>
      <c r="F1650" s="51"/>
    </row>
    <row r="1651" spans="2:6">
      <c r="B1651" s="51"/>
      <c r="C1651" s="51"/>
      <c r="D1651" s="51"/>
      <c r="F1651" s="51"/>
    </row>
    <row r="1652" spans="2:6">
      <c r="B1652" s="51"/>
      <c r="C1652" s="51"/>
      <c r="D1652" s="51"/>
      <c r="F1652" s="51"/>
    </row>
    <row r="1653" spans="2:6">
      <c r="B1653" s="51"/>
      <c r="C1653" s="51"/>
      <c r="D1653" s="51"/>
      <c r="F1653" s="51"/>
    </row>
    <row r="1654" spans="2:6">
      <c r="B1654" s="51"/>
      <c r="C1654" s="51"/>
      <c r="D1654" s="51"/>
      <c r="F1654" s="51"/>
    </row>
    <row r="1655" spans="2:6">
      <c r="B1655" s="51"/>
      <c r="C1655" s="51"/>
      <c r="D1655" s="51"/>
      <c r="F1655" s="51"/>
    </row>
    <row r="1656" spans="2:6">
      <c r="B1656" s="51"/>
      <c r="C1656" s="51"/>
      <c r="D1656" s="51"/>
      <c r="F1656" s="51"/>
    </row>
    <row r="1657" spans="2:6">
      <c r="B1657" s="51"/>
      <c r="C1657" s="51"/>
      <c r="D1657" s="51"/>
      <c r="F1657" s="51"/>
    </row>
    <row r="1658" spans="2:6">
      <c r="B1658" s="51"/>
      <c r="C1658" s="51"/>
      <c r="D1658" s="51"/>
      <c r="F1658" s="51"/>
    </row>
    <row r="1659" spans="2:6">
      <c r="B1659" s="51"/>
      <c r="C1659" s="51"/>
      <c r="D1659" s="51"/>
      <c r="F1659" s="51"/>
    </row>
    <row r="1660" spans="2:6">
      <c r="B1660" s="51"/>
      <c r="C1660" s="51"/>
      <c r="D1660" s="51"/>
      <c r="F1660" s="51"/>
    </row>
    <row r="1661" spans="2:6">
      <c r="B1661" s="51"/>
      <c r="C1661" s="51"/>
      <c r="D1661" s="51"/>
      <c r="F1661" s="51"/>
    </row>
    <row r="1662" spans="2:6">
      <c r="B1662" s="51"/>
      <c r="C1662" s="51"/>
      <c r="D1662" s="51"/>
      <c r="F1662" s="51"/>
    </row>
    <row r="1663" spans="2:6">
      <c r="B1663" s="51"/>
      <c r="C1663" s="51"/>
      <c r="D1663" s="51"/>
      <c r="F1663" s="51"/>
    </row>
    <row r="1664" spans="2:6">
      <c r="B1664" s="51"/>
      <c r="C1664" s="51"/>
      <c r="D1664" s="51"/>
      <c r="F1664" s="51"/>
    </row>
    <row r="1665" spans="2:6">
      <c r="B1665" s="51"/>
      <c r="C1665" s="51"/>
      <c r="D1665" s="51"/>
      <c r="F1665" s="51"/>
    </row>
    <row r="1666" spans="2:6">
      <c r="B1666" s="51"/>
      <c r="C1666" s="51"/>
      <c r="D1666" s="51"/>
      <c r="F1666" s="51"/>
    </row>
    <row r="1667" spans="2:6">
      <c r="B1667" s="51"/>
      <c r="C1667" s="51"/>
      <c r="D1667" s="51"/>
      <c r="F1667" s="51"/>
    </row>
    <row r="1668" spans="2:6">
      <c r="B1668" s="51"/>
      <c r="C1668" s="51"/>
      <c r="D1668" s="51"/>
      <c r="F1668" s="51"/>
    </row>
    <row r="1669" spans="2:6">
      <c r="B1669" s="51"/>
      <c r="C1669" s="51"/>
      <c r="D1669" s="51"/>
      <c r="F1669" s="51"/>
    </row>
    <row r="1670" spans="2:6">
      <c r="B1670" s="51"/>
      <c r="C1670" s="51"/>
      <c r="D1670" s="51"/>
      <c r="F1670" s="51"/>
    </row>
    <row r="1671" spans="2:6">
      <c r="B1671" s="51"/>
      <c r="C1671" s="51"/>
      <c r="D1671" s="51"/>
      <c r="F1671" s="51"/>
    </row>
    <row r="1672" spans="2:6">
      <c r="B1672" s="51"/>
      <c r="C1672" s="51"/>
      <c r="D1672" s="51"/>
      <c r="F1672" s="51"/>
    </row>
    <row r="1673" spans="2:6">
      <c r="B1673" s="51"/>
      <c r="C1673" s="51"/>
      <c r="D1673" s="51"/>
      <c r="F1673" s="51"/>
    </row>
    <row r="1674" spans="2:6">
      <c r="B1674" s="51"/>
      <c r="C1674" s="51"/>
      <c r="D1674" s="51"/>
      <c r="F1674" s="51"/>
    </row>
    <row r="1675" spans="2:6">
      <c r="B1675" s="51"/>
      <c r="C1675" s="51"/>
      <c r="D1675" s="51"/>
      <c r="F1675" s="51"/>
    </row>
    <row r="1676" spans="2:6">
      <c r="B1676" s="51"/>
      <c r="C1676" s="51"/>
      <c r="D1676" s="51"/>
      <c r="F1676" s="51"/>
    </row>
    <row r="1677" spans="2:6">
      <c r="B1677" s="51"/>
      <c r="C1677" s="51"/>
      <c r="D1677" s="51"/>
      <c r="F1677" s="51"/>
    </row>
    <row r="1678" spans="2:6">
      <c r="B1678" s="51"/>
      <c r="C1678" s="51"/>
      <c r="D1678" s="51"/>
      <c r="F1678" s="51"/>
    </row>
    <row r="1679" spans="2:6">
      <c r="B1679" s="51"/>
      <c r="C1679" s="51"/>
      <c r="D1679" s="51"/>
      <c r="F1679" s="51"/>
    </row>
    <row r="1680" spans="2:6">
      <c r="B1680" s="51"/>
      <c r="C1680" s="51"/>
      <c r="D1680" s="51"/>
      <c r="F1680" s="51"/>
    </row>
    <row r="1681" spans="2:6">
      <c r="B1681" s="51"/>
      <c r="C1681" s="51"/>
      <c r="D1681" s="51"/>
      <c r="F1681" s="51"/>
    </row>
    <row r="1682" spans="2:6">
      <c r="B1682" s="51"/>
      <c r="C1682" s="51"/>
      <c r="D1682" s="51"/>
      <c r="F1682" s="51"/>
    </row>
    <row r="1683" spans="2:6">
      <c r="B1683" s="51"/>
      <c r="C1683" s="51"/>
      <c r="D1683" s="51"/>
      <c r="F1683" s="51"/>
    </row>
    <row r="1684" spans="2:6">
      <c r="B1684" s="51"/>
      <c r="C1684" s="51"/>
      <c r="D1684" s="51"/>
      <c r="F1684" s="51"/>
    </row>
    <row r="1685" spans="2:6">
      <c r="B1685" s="51"/>
      <c r="C1685" s="51"/>
      <c r="D1685" s="51"/>
      <c r="F1685" s="51"/>
    </row>
    <row r="1686" spans="2:6">
      <c r="B1686" s="51"/>
      <c r="C1686" s="51"/>
      <c r="D1686" s="51"/>
      <c r="F1686" s="51"/>
    </row>
    <row r="1687" spans="2:6">
      <c r="B1687" s="51"/>
      <c r="C1687" s="51"/>
      <c r="D1687" s="51"/>
      <c r="F1687" s="51"/>
    </row>
    <row r="1688" spans="2:6">
      <c r="B1688" s="51"/>
      <c r="C1688" s="51"/>
      <c r="D1688" s="51"/>
      <c r="F1688" s="51"/>
    </row>
    <row r="1689" spans="2:6">
      <c r="B1689" s="51"/>
      <c r="C1689" s="51"/>
      <c r="D1689" s="51"/>
      <c r="F1689" s="51"/>
    </row>
    <row r="1690" spans="2:6">
      <c r="B1690" s="51"/>
      <c r="C1690" s="51"/>
      <c r="D1690" s="51"/>
      <c r="F1690" s="51"/>
    </row>
    <row r="1691" spans="2:6">
      <c r="B1691" s="51"/>
      <c r="C1691" s="51"/>
      <c r="D1691" s="51"/>
      <c r="F1691" s="51"/>
    </row>
    <row r="1692" spans="2:6">
      <c r="B1692" s="51"/>
      <c r="C1692" s="51"/>
      <c r="D1692" s="51"/>
      <c r="F1692" s="51"/>
    </row>
    <row r="1693" spans="2:6">
      <c r="B1693" s="51"/>
      <c r="C1693" s="51"/>
      <c r="D1693" s="51"/>
      <c r="F1693" s="51"/>
    </row>
    <row r="1694" spans="2:6">
      <c r="B1694" s="51"/>
      <c r="C1694" s="51"/>
      <c r="D1694" s="51"/>
      <c r="F1694" s="51"/>
    </row>
    <row r="1695" spans="2:6">
      <c r="B1695" s="51"/>
      <c r="C1695" s="51"/>
      <c r="D1695" s="51"/>
      <c r="F1695" s="51"/>
    </row>
    <row r="1696" spans="2:6">
      <c r="B1696" s="51"/>
      <c r="C1696" s="51"/>
      <c r="D1696" s="51"/>
      <c r="F1696" s="51"/>
    </row>
    <row r="1697" spans="2:6">
      <c r="B1697" s="51"/>
      <c r="C1697" s="51"/>
      <c r="D1697" s="51"/>
      <c r="F1697" s="51"/>
    </row>
    <row r="1698" spans="2:6">
      <c r="B1698" s="51"/>
      <c r="C1698" s="51"/>
      <c r="D1698" s="51"/>
      <c r="F1698" s="51"/>
    </row>
    <row r="1699" spans="2:6">
      <c r="B1699" s="51"/>
      <c r="C1699" s="51"/>
      <c r="D1699" s="51"/>
      <c r="F1699" s="51"/>
    </row>
    <row r="1700" spans="2:6">
      <c r="B1700" s="51"/>
      <c r="C1700" s="51"/>
      <c r="D1700" s="51"/>
      <c r="F1700" s="51"/>
    </row>
    <row r="1701" spans="2:6">
      <c r="B1701" s="51"/>
      <c r="C1701" s="51"/>
      <c r="D1701" s="51"/>
      <c r="F1701" s="51"/>
    </row>
    <row r="1702" spans="2:6">
      <c r="B1702" s="51"/>
      <c r="C1702" s="51"/>
      <c r="D1702" s="51"/>
      <c r="F1702" s="51"/>
    </row>
    <row r="1703" spans="2:6">
      <c r="B1703" s="51"/>
      <c r="C1703" s="51"/>
      <c r="D1703" s="51"/>
      <c r="F1703" s="51"/>
    </row>
    <row r="1704" spans="2:6">
      <c r="B1704" s="51"/>
      <c r="C1704" s="51"/>
      <c r="D1704" s="51"/>
      <c r="F1704" s="51"/>
    </row>
    <row r="1705" spans="2:6">
      <c r="B1705" s="51"/>
      <c r="C1705" s="51"/>
      <c r="D1705" s="51"/>
      <c r="F1705" s="51"/>
    </row>
    <row r="1706" spans="2:6">
      <c r="B1706" s="51"/>
      <c r="C1706" s="51"/>
      <c r="D1706" s="51"/>
      <c r="F1706" s="51"/>
    </row>
    <row r="1707" spans="2:6">
      <c r="B1707" s="51"/>
      <c r="C1707" s="51"/>
      <c r="D1707" s="51"/>
      <c r="F1707" s="51"/>
    </row>
    <row r="1708" spans="2:6">
      <c r="B1708" s="51"/>
      <c r="C1708" s="51"/>
      <c r="D1708" s="51"/>
      <c r="F1708" s="51"/>
    </row>
    <row r="1709" spans="2:6">
      <c r="B1709" s="51"/>
      <c r="C1709" s="51"/>
      <c r="D1709" s="51"/>
      <c r="F1709" s="51"/>
    </row>
    <row r="1710" spans="2:6">
      <c r="B1710" s="51"/>
      <c r="C1710" s="51"/>
      <c r="D1710" s="51"/>
      <c r="F1710" s="51"/>
    </row>
    <row r="1711" spans="2:6">
      <c r="B1711" s="51"/>
      <c r="C1711" s="51"/>
      <c r="D1711" s="51"/>
      <c r="F1711" s="51"/>
    </row>
    <row r="1712" spans="2:6">
      <c r="B1712" s="51"/>
      <c r="C1712" s="51"/>
      <c r="D1712" s="51"/>
      <c r="F1712" s="51"/>
    </row>
    <row r="1713" spans="2:6">
      <c r="B1713" s="51"/>
      <c r="C1713" s="51"/>
      <c r="D1713" s="51"/>
      <c r="F1713" s="51"/>
    </row>
    <row r="1714" spans="2:6">
      <c r="B1714" s="51"/>
      <c r="C1714" s="51"/>
      <c r="D1714" s="51"/>
      <c r="F1714" s="51"/>
    </row>
    <row r="1715" spans="2:6">
      <c r="B1715" s="51"/>
      <c r="C1715" s="51"/>
      <c r="D1715" s="51"/>
      <c r="F1715" s="51"/>
    </row>
    <row r="1716" spans="2:6">
      <c r="B1716" s="51"/>
      <c r="C1716" s="51"/>
      <c r="D1716" s="51"/>
      <c r="F1716" s="51"/>
    </row>
    <row r="1717" spans="2:6">
      <c r="B1717" s="51"/>
      <c r="C1717" s="51"/>
      <c r="D1717" s="51"/>
      <c r="F1717" s="51"/>
    </row>
    <row r="1718" spans="2:6">
      <c r="B1718" s="51"/>
      <c r="C1718" s="51"/>
      <c r="D1718" s="51"/>
      <c r="F1718" s="51"/>
    </row>
    <row r="1719" spans="2:6">
      <c r="B1719" s="51"/>
      <c r="C1719" s="51"/>
      <c r="D1719" s="51"/>
      <c r="F1719" s="51"/>
    </row>
    <row r="1720" spans="2:6">
      <c r="B1720" s="51"/>
      <c r="C1720" s="51"/>
      <c r="D1720" s="51"/>
      <c r="F1720" s="51"/>
    </row>
    <row r="1721" spans="2:6">
      <c r="B1721" s="51"/>
      <c r="C1721" s="51"/>
      <c r="D1721" s="51"/>
      <c r="F1721" s="51"/>
    </row>
    <row r="1722" spans="2:6">
      <c r="B1722" s="51"/>
      <c r="C1722" s="51"/>
      <c r="D1722" s="51"/>
      <c r="F1722" s="51"/>
    </row>
    <row r="1723" spans="2:6">
      <c r="B1723" s="51"/>
      <c r="C1723" s="51"/>
      <c r="D1723" s="51"/>
      <c r="F1723" s="51"/>
    </row>
    <row r="1724" spans="2:6">
      <c r="B1724" s="51"/>
      <c r="C1724" s="51"/>
      <c r="D1724" s="51"/>
      <c r="F1724" s="51"/>
    </row>
    <row r="1725" spans="2:6">
      <c r="B1725" s="51"/>
      <c r="C1725" s="51"/>
      <c r="D1725" s="51"/>
      <c r="F1725" s="51"/>
    </row>
    <row r="1726" spans="2:6">
      <c r="B1726" s="51"/>
      <c r="C1726" s="51"/>
      <c r="D1726" s="51"/>
      <c r="F1726" s="51"/>
    </row>
    <row r="1727" spans="2:6">
      <c r="B1727" s="51"/>
      <c r="C1727" s="51"/>
      <c r="D1727" s="51"/>
      <c r="F1727" s="51"/>
    </row>
    <row r="1728" spans="2:6">
      <c r="B1728" s="51"/>
      <c r="C1728" s="51"/>
      <c r="D1728" s="51"/>
      <c r="F1728" s="51"/>
    </row>
    <row r="1729" spans="2:6">
      <c r="B1729" s="51"/>
      <c r="C1729" s="51"/>
      <c r="D1729" s="51"/>
      <c r="F1729" s="51"/>
    </row>
    <row r="1730" spans="2:6">
      <c r="B1730" s="51"/>
      <c r="C1730" s="51"/>
      <c r="D1730" s="51"/>
      <c r="F1730" s="51"/>
    </row>
    <row r="1731" spans="2:6">
      <c r="B1731" s="51"/>
      <c r="C1731" s="51"/>
      <c r="D1731" s="51"/>
      <c r="F1731" s="51"/>
    </row>
    <row r="1732" spans="2:6">
      <c r="B1732" s="51"/>
      <c r="C1732" s="51"/>
      <c r="D1732" s="51"/>
      <c r="F1732" s="51"/>
    </row>
    <row r="1733" spans="2:6">
      <c r="B1733" s="51"/>
      <c r="C1733" s="51"/>
      <c r="D1733" s="51"/>
      <c r="F1733" s="51"/>
    </row>
    <row r="1734" spans="2:6">
      <c r="B1734" s="51"/>
      <c r="C1734" s="51"/>
      <c r="D1734" s="51"/>
      <c r="F1734" s="51"/>
    </row>
    <row r="1735" spans="2:6">
      <c r="B1735" s="51"/>
      <c r="C1735" s="51"/>
      <c r="D1735" s="51"/>
      <c r="F1735" s="51"/>
    </row>
    <row r="1736" spans="2:6">
      <c r="B1736" s="51"/>
      <c r="C1736" s="51"/>
      <c r="D1736" s="51"/>
      <c r="F1736" s="51"/>
    </row>
    <row r="1737" spans="2:6">
      <c r="B1737" s="51"/>
      <c r="C1737" s="51"/>
      <c r="D1737" s="51"/>
      <c r="F1737" s="51"/>
    </row>
    <row r="1738" spans="2:6">
      <c r="B1738" s="51"/>
      <c r="C1738" s="51"/>
      <c r="D1738" s="51"/>
      <c r="F1738" s="51"/>
    </row>
    <row r="1739" spans="2:6">
      <c r="B1739" s="51"/>
      <c r="C1739" s="51"/>
      <c r="D1739" s="51"/>
      <c r="F1739" s="51"/>
    </row>
    <row r="1740" spans="2:6">
      <c r="B1740" s="51"/>
      <c r="C1740" s="51"/>
      <c r="D1740" s="51"/>
      <c r="F1740" s="51"/>
    </row>
    <row r="1741" spans="2:6">
      <c r="B1741" s="51"/>
      <c r="C1741" s="51"/>
      <c r="D1741" s="51"/>
      <c r="F1741" s="51"/>
    </row>
    <row r="1742" spans="2:6">
      <c r="B1742" s="51"/>
      <c r="C1742" s="51"/>
      <c r="D1742" s="51"/>
      <c r="F1742" s="51"/>
    </row>
    <row r="1743" spans="2:6">
      <c r="B1743" s="51"/>
      <c r="C1743" s="51"/>
      <c r="D1743" s="51"/>
      <c r="F1743" s="51"/>
    </row>
    <row r="1744" spans="2:6">
      <c r="B1744" s="51"/>
      <c r="C1744" s="51"/>
      <c r="D1744" s="51"/>
      <c r="F1744" s="51"/>
    </row>
    <row r="1745" spans="2:6">
      <c r="B1745" s="51"/>
      <c r="C1745" s="51"/>
      <c r="D1745" s="51"/>
      <c r="F1745" s="51"/>
    </row>
    <row r="1746" spans="2:6">
      <c r="B1746" s="51"/>
      <c r="C1746" s="51"/>
      <c r="D1746" s="51"/>
      <c r="F1746" s="51"/>
    </row>
    <row r="1747" spans="2:6">
      <c r="B1747" s="51"/>
      <c r="C1747" s="51"/>
      <c r="D1747" s="51"/>
      <c r="F1747" s="51"/>
    </row>
    <row r="1748" spans="2:6">
      <c r="B1748" s="51"/>
      <c r="C1748" s="51"/>
      <c r="D1748" s="51"/>
      <c r="F1748" s="51"/>
    </row>
    <row r="1749" spans="2:6">
      <c r="B1749" s="51"/>
      <c r="C1749" s="51"/>
      <c r="D1749" s="51"/>
      <c r="F1749" s="51"/>
    </row>
    <row r="1750" spans="2:6">
      <c r="B1750" s="51"/>
      <c r="C1750" s="51"/>
      <c r="D1750" s="51"/>
      <c r="F1750" s="51"/>
    </row>
    <row r="1751" spans="2:6">
      <c r="B1751" s="51"/>
      <c r="C1751" s="51"/>
      <c r="D1751" s="51"/>
      <c r="F1751" s="51"/>
    </row>
    <row r="1752" spans="2:6">
      <c r="B1752" s="51"/>
      <c r="C1752" s="51"/>
      <c r="D1752" s="51"/>
      <c r="F1752" s="51"/>
    </row>
    <row r="1753" spans="2:6">
      <c r="B1753" s="51"/>
      <c r="C1753" s="51"/>
      <c r="D1753" s="51"/>
      <c r="F1753" s="51"/>
    </row>
    <row r="1754" spans="2:6">
      <c r="B1754" s="51"/>
      <c r="C1754" s="51"/>
      <c r="D1754" s="51"/>
      <c r="F1754" s="51"/>
    </row>
    <row r="1755" spans="2:6">
      <c r="B1755" s="51"/>
      <c r="C1755" s="51"/>
      <c r="D1755" s="51"/>
      <c r="F1755" s="51"/>
    </row>
    <row r="1756" spans="2:6">
      <c r="B1756" s="51"/>
      <c r="C1756" s="51"/>
      <c r="D1756" s="51"/>
      <c r="F1756" s="51"/>
    </row>
    <row r="1757" spans="2:6">
      <c r="B1757" s="51"/>
      <c r="C1757" s="51"/>
      <c r="D1757" s="51"/>
      <c r="F1757" s="51"/>
    </row>
    <row r="1758" spans="2:6">
      <c r="B1758" s="51"/>
      <c r="C1758" s="51"/>
      <c r="D1758" s="51"/>
      <c r="F1758" s="51"/>
    </row>
    <row r="1759" spans="2:6">
      <c r="B1759" s="51"/>
      <c r="C1759" s="51"/>
      <c r="D1759" s="51"/>
      <c r="F1759" s="51"/>
    </row>
    <row r="1760" spans="2:6">
      <c r="B1760" s="51"/>
      <c r="C1760" s="51"/>
      <c r="D1760" s="51"/>
      <c r="F1760" s="51"/>
    </row>
    <row r="1761" spans="2:6">
      <c r="B1761" s="51"/>
      <c r="C1761" s="51"/>
      <c r="D1761" s="51"/>
      <c r="F1761" s="51"/>
    </row>
    <row r="1762" spans="2:6">
      <c r="B1762" s="51"/>
      <c r="C1762" s="51"/>
      <c r="D1762" s="51"/>
      <c r="F1762" s="51"/>
    </row>
    <row r="1763" spans="2:6">
      <c r="B1763" s="51"/>
      <c r="C1763" s="51"/>
      <c r="D1763" s="51"/>
      <c r="F1763" s="51"/>
    </row>
    <row r="1764" spans="2:6">
      <c r="B1764" s="51"/>
      <c r="C1764" s="51"/>
      <c r="D1764" s="51"/>
      <c r="F1764" s="51"/>
    </row>
    <row r="1765" spans="2:6">
      <c r="B1765" s="51"/>
      <c r="C1765" s="51"/>
      <c r="D1765" s="51"/>
      <c r="F1765" s="51"/>
    </row>
    <row r="1766" spans="2:6">
      <c r="B1766" s="51"/>
      <c r="C1766" s="51"/>
      <c r="D1766" s="51"/>
      <c r="F1766" s="51"/>
    </row>
    <row r="1767" spans="2:6">
      <c r="B1767" s="51"/>
      <c r="C1767" s="51"/>
      <c r="D1767" s="51"/>
      <c r="F1767" s="51"/>
    </row>
    <row r="1768" spans="2:6">
      <c r="B1768" s="51"/>
      <c r="C1768" s="51"/>
      <c r="D1768" s="51"/>
      <c r="F1768" s="51"/>
    </row>
    <row r="1769" spans="2:6">
      <c r="B1769" s="51"/>
      <c r="C1769" s="51"/>
      <c r="D1769" s="51"/>
      <c r="F1769" s="51"/>
    </row>
    <row r="1770" spans="2:6">
      <c r="B1770" s="51"/>
      <c r="C1770" s="51"/>
      <c r="D1770" s="51"/>
      <c r="F1770" s="51"/>
    </row>
    <row r="1771" spans="2:6">
      <c r="B1771" s="51"/>
      <c r="C1771" s="51"/>
      <c r="D1771" s="51"/>
      <c r="F1771" s="51"/>
    </row>
    <row r="1772" spans="2:6">
      <c r="B1772" s="51"/>
      <c r="C1772" s="51"/>
      <c r="D1772" s="51"/>
      <c r="F1772" s="51"/>
    </row>
    <row r="1773" spans="2:6">
      <c r="B1773" s="51"/>
      <c r="C1773" s="51"/>
      <c r="D1773" s="51"/>
      <c r="F1773" s="51"/>
    </row>
    <row r="1774" spans="2:6">
      <c r="B1774" s="51"/>
      <c r="C1774" s="51"/>
      <c r="D1774" s="51"/>
      <c r="F1774" s="51"/>
    </row>
    <row r="1775" spans="2:6">
      <c r="B1775" s="51"/>
      <c r="C1775" s="51"/>
      <c r="D1775" s="51"/>
      <c r="F1775" s="51"/>
    </row>
    <row r="1776" spans="2:6">
      <c r="B1776" s="51"/>
      <c r="C1776" s="51"/>
      <c r="D1776" s="51"/>
      <c r="F1776" s="51"/>
    </row>
    <row r="1777" spans="2:6">
      <c r="B1777" s="51"/>
      <c r="C1777" s="51"/>
      <c r="D1777" s="51"/>
      <c r="F1777" s="51"/>
    </row>
    <row r="1778" spans="2:6">
      <c r="B1778" s="51"/>
      <c r="C1778" s="51"/>
      <c r="D1778" s="51"/>
      <c r="F1778" s="51"/>
    </row>
    <row r="1779" spans="2:6">
      <c r="B1779" s="51"/>
      <c r="C1779" s="51"/>
      <c r="D1779" s="51"/>
      <c r="F1779" s="51"/>
    </row>
    <row r="1780" spans="2:6">
      <c r="B1780" s="51"/>
      <c r="C1780" s="51"/>
      <c r="D1780" s="51"/>
      <c r="F1780" s="51"/>
    </row>
    <row r="1781" spans="2:6">
      <c r="B1781" s="51"/>
      <c r="C1781" s="51"/>
      <c r="D1781" s="51"/>
      <c r="F1781" s="51"/>
    </row>
    <row r="1782" spans="2:6">
      <c r="B1782" s="51"/>
      <c r="C1782" s="51"/>
      <c r="D1782" s="51"/>
      <c r="F1782" s="51"/>
    </row>
    <row r="1783" spans="2:6">
      <c r="B1783" s="51"/>
      <c r="C1783" s="51"/>
      <c r="D1783" s="51"/>
      <c r="F1783" s="51"/>
    </row>
    <row r="1784" spans="2:6">
      <c r="B1784" s="51"/>
      <c r="C1784" s="51"/>
      <c r="D1784" s="51"/>
      <c r="F1784" s="51"/>
    </row>
    <row r="1785" spans="2:6">
      <c r="B1785" s="51"/>
      <c r="C1785" s="51"/>
      <c r="D1785" s="51"/>
      <c r="F1785" s="51"/>
    </row>
    <row r="1786" spans="2:6">
      <c r="B1786" s="51"/>
      <c r="C1786" s="51"/>
      <c r="D1786" s="51"/>
      <c r="F1786" s="51"/>
    </row>
    <row r="1787" spans="2:6">
      <c r="B1787" s="51"/>
      <c r="C1787" s="51"/>
      <c r="D1787" s="51"/>
      <c r="F1787" s="51"/>
    </row>
    <row r="1788" spans="2:6">
      <c r="B1788" s="51"/>
      <c r="C1788" s="51"/>
      <c r="D1788" s="51"/>
      <c r="F1788" s="51"/>
    </row>
    <row r="1789" spans="2:6">
      <c r="B1789" s="51"/>
      <c r="C1789" s="51"/>
      <c r="D1789" s="51"/>
      <c r="F1789" s="51"/>
    </row>
    <row r="1790" spans="2:6">
      <c r="B1790" s="51"/>
      <c r="C1790" s="51"/>
      <c r="D1790" s="51"/>
      <c r="F1790" s="51"/>
    </row>
    <row r="1791" spans="2:6">
      <c r="B1791" s="51"/>
      <c r="C1791" s="51"/>
      <c r="D1791" s="51"/>
      <c r="F1791" s="51"/>
    </row>
    <row r="1792" spans="2:6">
      <c r="B1792" s="51"/>
      <c r="C1792" s="51"/>
      <c r="D1792" s="51"/>
      <c r="F1792" s="51"/>
    </row>
    <row r="1793" spans="2:6">
      <c r="B1793" s="51"/>
      <c r="C1793" s="51"/>
      <c r="D1793" s="51"/>
      <c r="F1793" s="51"/>
    </row>
    <row r="1794" spans="2:6">
      <c r="B1794" s="51"/>
      <c r="C1794" s="51"/>
      <c r="D1794" s="51"/>
      <c r="F1794" s="51"/>
    </row>
    <row r="1795" spans="2:6">
      <c r="B1795" s="51"/>
      <c r="C1795" s="51"/>
      <c r="D1795" s="51"/>
      <c r="F1795" s="51"/>
    </row>
    <row r="1796" spans="2:6">
      <c r="B1796" s="51"/>
      <c r="C1796" s="51"/>
      <c r="D1796" s="51"/>
      <c r="F1796" s="51"/>
    </row>
    <row r="1797" spans="2:6">
      <c r="B1797" s="51"/>
      <c r="C1797" s="51"/>
      <c r="D1797" s="51"/>
      <c r="F1797" s="51"/>
    </row>
    <row r="1798" spans="2:6">
      <c r="B1798" s="51"/>
      <c r="C1798" s="51"/>
      <c r="D1798" s="51"/>
      <c r="F1798" s="51"/>
    </row>
    <row r="1799" spans="2:6">
      <c r="B1799" s="51"/>
      <c r="C1799" s="51"/>
      <c r="D1799" s="51"/>
      <c r="F1799" s="51"/>
    </row>
    <row r="1800" spans="2:6">
      <c r="B1800" s="51"/>
      <c r="C1800" s="51"/>
      <c r="D1800" s="51"/>
      <c r="F1800" s="51"/>
    </row>
    <row r="1801" spans="2:6">
      <c r="B1801" s="51"/>
      <c r="C1801" s="51"/>
      <c r="D1801" s="51"/>
      <c r="F1801" s="51"/>
    </row>
    <row r="1802" spans="2:6">
      <c r="B1802" s="51"/>
      <c r="C1802" s="51"/>
      <c r="D1802" s="51"/>
      <c r="F1802" s="51"/>
    </row>
    <row r="1803" spans="2:6">
      <c r="B1803" s="51"/>
      <c r="C1803" s="51"/>
      <c r="D1803" s="51"/>
      <c r="F1803" s="51"/>
    </row>
    <row r="1804" spans="2:6">
      <c r="B1804" s="51"/>
      <c r="C1804" s="51"/>
      <c r="D1804" s="51"/>
      <c r="F1804" s="51"/>
    </row>
    <row r="1805" spans="2:6">
      <c r="B1805" s="51"/>
      <c r="C1805" s="51"/>
      <c r="D1805" s="51"/>
      <c r="F1805" s="51"/>
    </row>
    <row r="1806" spans="2:6">
      <c r="B1806" s="51"/>
      <c r="C1806" s="51"/>
      <c r="D1806" s="51"/>
      <c r="F1806" s="51"/>
    </row>
    <row r="1807" spans="2:6">
      <c r="B1807" s="51"/>
      <c r="C1807" s="51"/>
      <c r="D1807" s="51"/>
      <c r="F1807" s="51"/>
    </row>
    <row r="1808" spans="2:6">
      <c r="B1808" s="51"/>
      <c r="C1808" s="51"/>
      <c r="D1808" s="51"/>
      <c r="F1808" s="51"/>
    </row>
    <row r="1809" spans="2:6">
      <c r="B1809" s="51"/>
      <c r="C1809" s="51"/>
      <c r="D1809" s="51"/>
      <c r="F1809" s="51"/>
    </row>
    <row r="1810" spans="2:6">
      <c r="B1810" s="51"/>
      <c r="C1810" s="51"/>
      <c r="D1810" s="51"/>
      <c r="F1810" s="51"/>
    </row>
    <row r="1811" spans="2:6">
      <c r="B1811" s="51"/>
      <c r="C1811" s="51"/>
      <c r="D1811" s="51"/>
      <c r="F1811" s="51"/>
    </row>
    <row r="1812" spans="2:6">
      <c r="B1812" s="51"/>
      <c r="C1812" s="51"/>
      <c r="D1812" s="51"/>
      <c r="F1812" s="51"/>
    </row>
    <row r="1813" spans="2:6">
      <c r="B1813" s="51"/>
      <c r="C1813" s="51"/>
      <c r="D1813" s="51"/>
      <c r="F1813" s="51"/>
    </row>
    <row r="1814" spans="2:6">
      <c r="B1814" s="51"/>
      <c r="C1814" s="51"/>
      <c r="D1814" s="51"/>
      <c r="F1814" s="51"/>
    </row>
    <row r="1815" spans="2:6">
      <c r="B1815" s="51"/>
      <c r="C1815" s="51"/>
      <c r="D1815" s="51"/>
      <c r="F1815" s="51"/>
    </row>
    <row r="1816" spans="2:6">
      <c r="B1816" s="51"/>
      <c r="C1816" s="51"/>
      <c r="D1816" s="51"/>
      <c r="F1816" s="51"/>
    </row>
    <row r="1817" spans="2:6">
      <c r="B1817" s="51"/>
      <c r="C1817" s="51"/>
      <c r="D1817" s="51"/>
      <c r="F1817" s="51"/>
    </row>
    <row r="1818" spans="2:6">
      <c r="B1818" s="51"/>
      <c r="C1818" s="51"/>
      <c r="D1818" s="51"/>
      <c r="F1818" s="51"/>
    </row>
    <row r="1819" spans="2:6">
      <c r="B1819" s="51"/>
      <c r="C1819" s="51"/>
      <c r="D1819" s="51"/>
      <c r="F1819" s="51"/>
    </row>
    <row r="1820" spans="2:6">
      <c r="B1820" s="51"/>
      <c r="C1820" s="51"/>
      <c r="D1820" s="51"/>
      <c r="F1820" s="51"/>
    </row>
    <row r="1821" spans="2:6">
      <c r="B1821" s="51"/>
      <c r="C1821" s="51"/>
      <c r="D1821" s="51"/>
      <c r="F1821" s="51"/>
    </row>
    <row r="1822" spans="2:6">
      <c r="B1822" s="51"/>
      <c r="C1822" s="51"/>
      <c r="D1822" s="51"/>
      <c r="F1822" s="51"/>
    </row>
    <row r="1823" spans="2:6">
      <c r="B1823" s="51"/>
      <c r="C1823" s="51"/>
      <c r="D1823" s="51"/>
      <c r="F1823" s="51"/>
    </row>
    <row r="1824" spans="2:6">
      <c r="B1824" s="51"/>
      <c r="C1824" s="51"/>
      <c r="D1824" s="51"/>
      <c r="F1824" s="51"/>
    </row>
    <row r="1825" spans="2:6">
      <c r="B1825" s="51"/>
      <c r="C1825" s="51"/>
      <c r="D1825" s="51"/>
      <c r="F1825" s="51"/>
    </row>
    <row r="1826" spans="2:6">
      <c r="B1826" s="51"/>
      <c r="C1826" s="51"/>
      <c r="D1826" s="51"/>
      <c r="F1826" s="51"/>
    </row>
    <row r="1827" spans="2:6">
      <c r="B1827" s="51"/>
      <c r="C1827" s="51"/>
      <c r="D1827" s="51"/>
      <c r="F1827" s="51"/>
    </row>
    <row r="1828" spans="2:6">
      <c r="B1828" s="51"/>
      <c r="C1828" s="51"/>
      <c r="D1828" s="51"/>
      <c r="F1828" s="51"/>
    </row>
    <row r="1829" spans="2:6">
      <c r="B1829" s="51"/>
      <c r="C1829" s="51"/>
      <c r="D1829" s="51"/>
      <c r="F1829" s="51"/>
    </row>
    <row r="1830" spans="2:6">
      <c r="B1830" s="51"/>
      <c r="C1830" s="51"/>
      <c r="D1830" s="51"/>
      <c r="F1830" s="51"/>
    </row>
    <row r="1831" spans="2:6">
      <c r="B1831" s="51"/>
      <c r="C1831" s="51"/>
      <c r="D1831" s="51"/>
      <c r="F1831" s="51"/>
    </row>
    <row r="1832" spans="2:6">
      <c r="B1832" s="51"/>
      <c r="C1832" s="51"/>
      <c r="D1832" s="51"/>
      <c r="F1832" s="51"/>
    </row>
    <row r="1833" spans="2:6">
      <c r="B1833" s="51"/>
      <c r="C1833" s="51"/>
      <c r="D1833" s="51"/>
      <c r="F1833" s="51"/>
    </row>
    <row r="1834" spans="2:6">
      <c r="B1834" s="51"/>
      <c r="C1834" s="51"/>
      <c r="D1834" s="51"/>
      <c r="F1834" s="51"/>
    </row>
    <row r="1835" spans="2:6">
      <c r="B1835" s="51"/>
      <c r="C1835" s="51"/>
      <c r="D1835" s="51"/>
      <c r="F1835" s="51"/>
    </row>
    <row r="1836" spans="2:6">
      <c r="B1836" s="51"/>
      <c r="C1836" s="51"/>
      <c r="D1836" s="51"/>
      <c r="F1836" s="51"/>
    </row>
    <row r="1837" spans="2:6">
      <c r="B1837" s="51"/>
      <c r="C1837" s="51"/>
      <c r="D1837" s="51"/>
      <c r="F1837" s="51"/>
    </row>
    <row r="1838" spans="2:6">
      <c r="B1838" s="51"/>
      <c r="C1838" s="51"/>
      <c r="D1838" s="51"/>
      <c r="F1838" s="51"/>
    </row>
    <row r="1839" spans="2:6">
      <c r="B1839" s="51"/>
      <c r="C1839" s="51"/>
      <c r="D1839" s="51"/>
      <c r="F1839" s="51"/>
    </row>
    <row r="1840" spans="2:6">
      <c r="B1840" s="51"/>
      <c r="C1840" s="51"/>
      <c r="D1840" s="51"/>
      <c r="F1840" s="51"/>
    </row>
    <row r="1841" spans="2:6">
      <c r="B1841" s="51"/>
      <c r="C1841" s="51"/>
      <c r="D1841" s="51"/>
      <c r="F1841" s="51"/>
    </row>
    <row r="1842" spans="2:6">
      <c r="B1842" s="51"/>
      <c r="C1842" s="51"/>
      <c r="D1842" s="51"/>
      <c r="F1842" s="51"/>
    </row>
    <row r="1843" spans="2:6">
      <c r="B1843" s="51"/>
      <c r="C1843" s="51"/>
      <c r="D1843" s="51"/>
      <c r="F1843" s="51"/>
    </row>
    <row r="1844" spans="2:6">
      <c r="B1844" s="51"/>
      <c r="C1844" s="51"/>
      <c r="D1844" s="51"/>
      <c r="F1844" s="51"/>
    </row>
    <row r="1845" spans="2:6">
      <c r="B1845" s="51"/>
      <c r="C1845" s="51"/>
      <c r="D1845" s="51"/>
      <c r="F1845" s="51"/>
    </row>
    <row r="1846" spans="2:6">
      <c r="B1846" s="51"/>
      <c r="C1846" s="51"/>
      <c r="D1846" s="51"/>
      <c r="F1846" s="51"/>
    </row>
    <row r="1847" spans="2:6">
      <c r="B1847" s="51"/>
      <c r="C1847" s="51"/>
      <c r="D1847" s="51"/>
      <c r="F1847" s="51"/>
    </row>
    <row r="1848" spans="2:6">
      <c r="B1848" s="51"/>
      <c r="C1848" s="51"/>
      <c r="D1848" s="51"/>
      <c r="F1848" s="51"/>
    </row>
    <row r="1849" spans="2:6">
      <c r="B1849" s="51"/>
      <c r="C1849" s="51"/>
      <c r="D1849" s="51"/>
      <c r="F1849" s="51"/>
    </row>
    <row r="1850" spans="2:6">
      <c r="B1850" s="51"/>
      <c r="C1850" s="51"/>
      <c r="D1850" s="51"/>
      <c r="F1850" s="51"/>
    </row>
    <row r="1851" spans="2:6">
      <c r="B1851" s="51"/>
      <c r="C1851" s="51"/>
      <c r="D1851" s="51"/>
      <c r="F1851" s="51"/>
    </row>
    <row r="1852" spans="2:6">
      <c r="B1852" s="51"/>
      <c r="C1852" s="51"/>
      <c r="D1852" s="51"/>
      <c r="F1852" s="51"/>
    </row>
    <row r="1853" spans="2:6">
      <c r="B1853" s="51"/>
      <c r="C1853" s="51"/>
      <c r="D1853" s="51"/>
      <c r="F1853" s="51"/>
    </row>
    <row r="1854" spans="2:6">
      <c r="B1854" s="51"/>
      <c r="C1854" s="51"/>
      <c r="D1854" s="51"/>
      <c r="F1854" s="51"/>
    </row>
    <row r="1855" spans="2:6">
      <c r="B1855" s="51"/>
      <c r="C1855" s="51"/>
      <c r="D1855" s="51"/>
      <c r="F1855" s="51"/>
    </row>
    <row r="1856" spans="2:6">
      <c r="B1856" s="51"/>
      <c r="C1856" s="51"/>
      <c r="D1856" s="51"/>
      <c r="F1856" s="51"/>
    </row>
    <row r="1857" spans="2:6">
      <c r="B1857" s="51"/>
      <c r="C1857" s="51"/>
      <c r="D1857" s="51"/>
      <c r="F1857" s="51"/>
    </row>
    <row r="1858" spans="2:6">
      <c r="B1858" s="51"/>
      <c r="C1858" s="51"/>
      <c r="D1858" s="51"/>
      <c r="F1858" s="51"/>
    </row>
    <row r="1859" spans="2:6">
      <c r="B1859" s="51"/>
      <c r="C1859" s="51"/>
      <c r="D1859" s="51"/>
      <c r="F1859" s="51"/>
    </row>
    <row r="1860" spans="2:6">
      <c r="B1860" s="51"/>
      <c r="C1860" s="51"/>
      <c r="D1860" s="51"/>
      <c r="F1860" s="51"/>
    </row>
    <row r="1861" spans="2:6">
      <c r="B1861" s="51"/>
      <c r="C1861" s="51"/>
      <c r="D1861" s="51"/>
      <c r="F1861" s="51"/>
    </row>
    <row r="1862" spans="2:6">
      <c r="B1862" s="51"/>
      <c r="C1862" s="51"/>
      <c r="D1862" s="51"/>
      <c r="F1862" s="51"/>
    </row>
    <row r="1863" spans="2:6">
      <c r="B1863" s="51"/>
      <c r="C1863" s="51"/>
      <c r="D1863" s="51"/>
      <c r="F1863" s="51"/>
    </row>
    <row r="1864" spans="2:6">
      <c r="B1864" s="51"/>
      <c r="C1864" s="51"/>
      <c r="D1864" s="51"/>
      <c r="F1864" s="51"/>
    </row>
    <row r="1865" spans="2:6">
      <c r="B1865" s="51"/>
      <c r="C1865" s="51"/>
      <c r="D1865" s="51"/>
      <c r="F1865" s="51"/>
    </row>
    <row r="1866" spans="2:6">
      <c r="B1866" s="51"/>
      <c r="C1866" s="51"/>
      <c r="D1866" s="51"/>
      <c r="F1866" s="51"/>
    </row>
    <row r="1867" spans="2:6">
      <c r="B1867" s="51"/>
      <c r="C1867" s="51"/>
      <c r="D1867" s="51"/>
      <c r="F1867" s="51"/>
    </row>
    <row r="1868" spans="2:6">
      <c r="B1868" s="51"/>
      <c r="C1868" s="51"/>
      <c r="D1868" s="51"/>
      <c r="F1868" s="51"/>
    </row>
    <row r="1869" spans="2:6">
      <c r="B1869" s="51"/>
      <c r="C1869" s="51"/>
      <c r="D1869" s="51"/>
      <c r="F1869" s="51"/>
    </row>
    <row r="1870" spans="2:6">
      <c r="B1870" s="51"/>
      <c r="C1870" s="51"/>
      <c r="D1870" s="51"/>
      <c r="F1870" s="51"/>
    </row>
    <row r="1871" spans="2:6">
      <c r="B1871" s="51"/>
      <c r="C1871" s="51"/>
      <c r="D1871" s="51"/>
      <c r="F1871" s="51"/>
    </row>
    <row r="1872" spans="2:6">
      <c r="B1872" s="51"/>
      <c r="C1872" s="51"/>
      <c r="D1872" s="51"/>
      <c r="F1872" s="51"/>
    </row>
    <row r="1873" spans="2:6">
      <c r="B1873" s="51"/>
      <c r="C1873" s="51"/>
      <c r="D1873" s="51"/>
      <c r="F1873" s="51"/>
    </row>
    <row r="1874" spans="2:6">
      <c r="B1874" s="51"/>
      <c r="C1874" s="51"/>
      <c r="D1874" s="51"/>
      <c r="F1874" s="51"/>
    </row>
    <row r="1875" spans="2:6">
      <c r="B1875" s="51"/>
      <c r="C1875" s="51"/>
      <c r="D1875" s="51"/>
      <c r="F1875" s="51"/>
    </row>
    <row r="1876" spans="2:6">
      <c r="B1876" s="51"/>
      <c r="C1876" s="51"/>
      <c r="D1876" s="51"/>
      <c r="F1876" s="51"/>
    </row>
    <row r="1877" spans="2:6">
      <c r="B1877" s="51"/>
      <c r="C1877" s="51"/>
      <c r="D1877" s="51"/>
      <c r="F1877" s="51"/>
    </row>
    <row r="1878" spans="2:6">
      <c r="B1878" s="51"/>
      <c r="C1878" s="51"/>
      <c r="D1878" s="51"/>
      <c r="F1878" s="51"/>
    </row>
    <row r="1879" spans="2:6">
      <c r="B1879" s="51"/>
      <c r="C1879" s="51"/>
      <c r="D1879" s="51"/>
      <c r="F1879" s="51"/>
    </row>
    <row r="1880" spans="2:6">
      <c r="B1880" s="51"/>
      <c r="C1880" s="51"/>
      <c r="D1880" s="51"/>
      <c r="F1880" s="51"/>
    </row>
    <row r="1881" spans="2:6">
      <c r="B1881" s="51"/>
      <c r="C1881" s="51"/>
      <c r="D1881" s="51"/>
      <c r="F1881" s="51"/>
    </row>
    <row r="1882" spans="2:6">
      <c r="B1882" s="51"/>
      <c r="C1882" s="51"/>
      <c r="D1882" s="51"/>
      <c r="F1882" s="51"/>
    </row>
    <row r="1883" spans="2:6">
      <c r="B1883" s="51"/>
      <c r="C1883" s="51"/>
      <c r="D1883" s="51"/>
      <c r="F1883" s="51"/>
    </row>
    <row r="1884" spans="2:6">
      <c r="B1884" s="51"/>
      <c r="C1884" s="51"/>
      <c r="D1884" s="51"/>
      <c r="F1884" s="51"/>
    </row>
    <row r="1885" spans="2:6">
      <c r="B1885" s="51"/>
      <c r="C1885" s="51"/>
      <c r="D1885" s="51"/>
      <c r="F1885" s="51"/>
    </row>
    <row r="1886" spans="2:6">
      <c r="B1886" s="51"/>
      <c r="C1886" s="51"/>
      <c r="D1886" s="51"/>
      <c r="F1886" s="51"/>
    </row>
    <row r="1887" spans="2:6">
      <c r="B1887" s="51"/>
      <c r="C1887" s="51"/>
      <c r="D1887" s="51"/>
      <c r="F1887" s="51"/>
    </row>
    <row r="1888" spans="2:6">
      <c r="B1888" s="51"/>
      <c r="C1888" s="51"/>
      <c r="D1888" s="51"/>
      <c r="F1888" s="51"/>
    </row>
    <row r="1889" spans="2:6">
      <c r="B1889" s="51"/>
      <c r="C1889" s="51"/>
      <c r="D1889" s="51"/>
      <c r="F1889" s="51"/>
    </row>
    <row r="1890" spans="2:6">
      <c r="B1890" s="51"/>
      <c r="C1890" s="51"/>
      <c r="D1890" s="51"/>
      <c r="F1890" s="51"/>
    </row>
    <row r="1891" spans="2:6">
      <c r="B1891" s="51"/>
      <c r="C1891" s="51"/>
      <c r="D1891" s="51"/>
      <c r="F1891" s="51"/>
    </row>
    <row r="1892" spans="2:6">
      <c r="B1892" s="51"/>
      <c r="C1892" s="51"/>
      <c r="D1892" s="51"/>
      <c r="F1892" s="51"/>
    </row>
    <row r="1893" spans="2:6">
      <c r="B1893" s="51"/>
      <c r="C1893" s="51"/>
      <c r="D1893" s="51"/>
      <c r="F1893" s="51"/>
    </row>
    <row r="1894" spans="2:6">
      <c r="B1894" s="51"/>
      <c r="C1894" s="51"/>
      <c r="D1894" s="51"/>
      <c r="F1894" s="51"/>
    </row>
    <row r="1895" spans="2:6">
      <c r="B1895" s="51"/>
      <c r="C1895" s="51"/>
      <c r="D1895" s="51"/>
      <c r="F1895" s="51"/>
    </row>
    <row r="1896" spans="2:6">
      <c r="B1896" s="51"/>
      <c r="C1896" s="51"/>
      <c r="D1896" s="51"/>
      <c r="F1896" s="51"/>
    </row>
    <row r="1897" spans="2:6">
      <c r="B1897" s="51"/>
      <c r="C1897" s="51"/>
      <c r="D1897" s="51"/>
      <c r="F1897" s="51"/>
    </row>
    <row r="1898" spans="2:6">
      <c r="B1898" s="51"/>
      <c r="C1898" s="51"/>
      <c r="D1898" s="51"/>
      <c r="F1898" s="51"/>
    </row>
    <row r="1899" spans="2:6">
      <c r="B1899" s="51"/>
      <c r="C1899" s="51"/>
      <c r="D1899" s="51"/>
      <c r="F1899" s="51"/>
    </row>
    <row r="1900" spans="2:6">
      <c r="B1900" s="51"/>
      <c r="C1900" s="51"/>
      <c r="D1900" s="51"/>
      <c r="F1900" s="51"/>
    </row>
    <row r="1901" spans="2:6">
      <c r="B1901" s="51"/>
      <c r="C1901" s="51"/>
      <c r="D1901" s="51"/>
      <c r="F1901" s="51"/>
    </row>
    <row r="1902" spans="2:6">
      <c r="B1902" s="51"/>
      <c r="C1902" s="51"/>
      <c r="D1902" s="51"/>
      <c r="F1902" s="51"/>
    </row>
    <row r="1903" spans="2:6">
      <c r="B1903" s="51"/>
      <c r="C1903" s="51"/>
      <c r="D1903" s="51"/>
      <c r="F1903" s="51"/>
    </row>
    <row r="1904" spans="2:6">
      <c r="B1904" s="51"/>
      <c r="C1904" s="51"/>
      <c r="D1904" s="51"/>
      <c r="F1904" s="51"/>
    </row>
    <row r="1905" spans="2:6">
      <c r="B1905" s="51"/>
      <c r="C1905" s="51"/>
      <c r="D1905" s="51"/>
      <c r="F1905" s="51"/>
    </row>
    <row r="1906" spans="2:6">
      <c r="B1906" s="51"/>
      <c r="C1906" s="51"/>
      <c r="D1906" s="51"/>
      <c r="F1906" s="51"/>
    </row>
    <row r="1907" spans="2:6">
      <c r="B1907" s="51"/>
      <c r="C1907" s="51"/>
      <c r="D1907" s="51"/>
      <c r="F1907" s="51"/>
    </row>
    <row r="1908" spans="2:6">
      <c r="B1908" s="51"/>
      <c r="C1908" s="51"/>
      <c r="D1908" s="51"/>
      <c r="F1908" s="51"/>
    </row>
    <row r="1909" spans="2:6">
      <c r="B1909" s="51"/>
      <c r="C1909" s="51"/>
      <c r="D1909" s="51"/>
      <c r="F1909" s="51"/>
    </row>
    <row r="1910" spans="2:6">
      <c r="B1910" s="51"/>
      <c r="C1910" s="51"/>
      <c r="D1910" s="51"/>
      <c r="F1910" s="51"/>
    </row>
    <row r="1911" spans="2:6">
      <c r="B1911" s="51"/>
      <c r="C1911" s="51"/>
      <c r="D1911" s="51"/>
      <c r="F1911" s="51"/>
    </row>
    <row r="1912" spans="2:6">
      <c r="B1912" s="51"/>
      <c r="C1912" s="51"/>
      <c r="D1912" s="51"/>
      <c r="F1912" s="51"/>
    </row>
    <row r="1913" spans="2:6">
      <c r="B1913" s="51"/>
      <c r="C1913" s="51"/>
      <c r="D1913" s="51"/>
      <c r="F1913" s="51"/>
    </row>
    <row r="1914" spans="2:6">
      <c r="B1914" s="51"/>
      <c r="C1914" s="51"/>
      <c r="D1914" s="51"/>
      <c r="F1914" s="51"/>
    </row>
    <row r="1915" spans="2:6">
      <c r="B1915" s="51"/>
      <c r="C1915" s="51"/>
      <c r="D1915" s="51"/>
      <c r="F1915" s="51"/>
    </row>
    <row r="1916" spans="2:6">
      <c r="B1916" s="51"/>
      <c r="C1916" s="51"/>
      <c r="D1916" s="51"/>
      <c r="F1916" s="51"/>
    </row>
    <row r="1917" spans="2:6">
      <c r="B1917" s="51"/>
      <c r="C1917" s="51"/>
      <c r="D1917" s="51"/>
      <c r="F1917" s="51"/>
    </row>
    <row r="1918" spans="2:6">
      <c r="B1918" s="51"/>
      <c r="C1918" s="51"/>
      <c r="D1918" s="51"/>
      <c r="F1918" s="51"/>
    </row>
    <row r="1919" spans="2:6">
      <c r="B1919" s="51"/>
      <c r="C1919" s="51"/>
      <c r="D1919" s="51"/>
      <c r="F1919" s="51"/>
    </row>
    <row r="1920" spans="2:6">
      <c r="B1920" s="51"/>
      <c r="C1920" s="51"/>
      <c r="D1920" s="51"/>
      <c r="F1920" s="51"/>
    </row>
    <row r="1921" spans="2:6">
      <c r="B1921" s="51"/>
      <c r="C1921" s="51"/>
      <c r="D1921" s="51"/>
      <c r="F1921" s="51"/>
    </row>
    <row r="1922" spans="2:6">
      <c r="B1922" s="51"/>
      <c r="C1922" s="51"/>
      <c r="D1922" s="51"/>
      <c r="F1922" s="51"/>
    </row>
    <row r="1923" spans="2:6">
      <c r="B1923" s="51"/>
      <c r="C1923" s="51"/>
      <c r="D1923" s="51"/>
      <c r="F1923" s="51"/>
    </row>
    <row r="1924" spans="2:6">
      <c r="B1924" s="51"/>
      <c r="C1924" s="51"/>
      <c r="D1924" s="51"/>
      <c r="F1924" s="51"/>
    </row>
    <row r="1925" spans="2:6">
      <c r="B1925" s="51"/>
      <c r="C1925" s="51"/>
      <c r="D1925" s="51"/>
      <c r="F1925" s="51"/>
    </row>
    <row r="1926" spans="2:6">
      <c r="B1926" s="51"/>
      <c r="C1926" s="51"/>
      <c r="D1926" s="51"/>
      <c r="F1926" s="51"/>
    </row>
    <row r="1927" spans="2:6">
      <c r="B1927" s="51"/>
      <c r="C1927" s="51"/>
      <c r="D1927" s="51"/>
      <c r="F1927" s="51"/>
    </row>
    <row r="1928" spans="2:6">
      <c r="B1928" s="51"/>
      <c r="C1928" s="51"/>
      <c r="D1928" s="51"/>
      <c r="F1928" s="51"/>
    </row>
    <row r="1929" spans="2:6">
      <c r="B1929" s="51"/>
      <c r="C1929" s="51"/>
      <c r="D1929" s="51"/>
      <c r="F1929" s="51"/>
    </row>
    <row r="1930" spans="2:6">
      <c r="B1930" s="51"/>
      <c r="C1930" s="51"/>
      <c r="D1930" s="51"/>
      <c r="F1930" s="51"/>
    </row>
    <row r="1931" spans="2:6">
      <c r="B1931" s="51"/>
      <c r="C1931" s="51"/>
      <c r="D1931" s="51"/>
      <c r="F1931" s="51"/>
    </row>
    <row r="1932" spans="2:6">
      <c r="B1932" s="51"/>
      <c r="C1932" s="51"/>
      <c r="D1932" s="51"/>
      <c r="F1932" s="51"/>
    </row>
    <row r="1933" spans="2:6">
      <c r="B1933" s="51"/>
      <c r="C1933" s="51"/>
      <c r="D1933" s="51"/>
      <c r="F1933" s="51"/>
    </row>
    <row r="1934" spans="2:6">
      <c r="B1934" s="51"/>
      <c r="C1934" s="51"/>
      <c r="D1934" s="51"/>
      <c r="F1934" s="51"/>
    </row>
    <row r="1935" spans="2:6">
      <c r="B1935" s="51"/>
      <c r="C1935" s="51"/>
      <c r="D1935" s="51"/>
      <c r="F1935" s="51"/>
    </row>
    <row r="1936" spans="2:6">
      <c r="B1936" s="51"/>
      <c r="C1936" s="51"/>
      <c r="D1936" s="51"/>
      <c r="F1936" s="51"/>
    </row>
    <row r="1937" spans="2:6">
      <c r="B1937" s="51"/>
      <c r="C1937" s="51"/>
      <c r="D1937" s="51"/>
      <c r="F1937" s="51"/>
    </row>
    <row r="1938" spans="2:6">
      <c r="B1938" s="51"/>
      <c r="C1938" s="51"/>
      <c r="D1938" s="51"/>
      <c r="F1938" s="51"/>
    </row>
    <row r="1939" spans="2:6">
      <c r="B1939" s="51"/>
      <c r="C1939" s="51"/>
      <c r="D1939" s="51"/>
      <c r="F1939" s="51"/>
    </row>
    <row r="1940" spans="2:6">
      <c r="B1940" s="51"/>
      <c r="C1940" s="51"/>
      <c r="D1940" s="51"/>
      <c r="F1940" s="51"/>
    </row>
    <row r="1941" spans="2:6">
      <c r="B1941" s="51"/>
      <c r="C1941" s="51"/>
      <c r="D1941" s="51"/>
      <c r="F1941" s="51"/>
    </row>
    <row r="1942" spans="2:6">
      <c r="B1942" s="51"/>
      <c r="C1942" s="51"/>
      <c r="D1942" s="51"/>
      <c r="F1942" s="51"/>
    </row>
    <row r="1943" spans="2:6">
      <c r="B1943" s="51"/>
      <c r="C1943" s="51"/>
      <c r="D1943" s="51"/>
      <c r="F1943" s="51"/>
    </row>
    <row r="1944" spans="2:6">
      <c r="B1944" s="51"/>
      <c r="C1944" s="51"/>
      <c r="D1944" s="51"/>
      <c r="F1944" s="51"/>
    </row>
    <row r="1945" spans="2:6">
      <c r="B1945" s="51"/>
      <c r="C1945" s="51"/>
      <c r="D1945" s="51"/>
      <c r="F1945" s="51"/>
    </row>
    <row r="1946" spans="2:6">
      <c r="B1946" s="51"/>
      <c r="C1946" s="51"/>
      <c r="D1946" s="51"/>
      <c r="F1946" s="51"/>
    </row>
    <row r="1947" spans="2:6">
      <c r="B1947" s="51"/>
      <c r="C1947" s="51"/>
      <c r="D1947" s="51"/>
      <c r="F1947" s="51"/>
    </row>
    <row r="1948" spans="2:6">
      <c r="B1948" s="51"/>
      <c r="C1948" s="51"/>
      <c r="D1948" s="51"/>
      <c r="F1948" s="51"/>
    </row>
    <row r="1949" spans="2:6">
      <c r="B1949" s="51"/>
      <c r="C1949" s="51"/>
      <c r="D1949" s="51"/>
      <c r="F1949" s="51"/>
    </row>
    <row r="1950" spans="2:6">
      <c r="B1950" s="51"/>
      <c r="C1950" s="51"/>
      <c r="D1950" s="51"/>
      <c r="F1950" s="51"/>
    </row>
    <row r="1951" spans="2:6">
      <c r="B1951" s="51"/>
      <c r="C1951" s="51"/>
      <c r="D1951" s="51"/>
      <c r="F1951" s="51"/>
    </row>
    <row r="1952" spans="2:6">
      <c r="B1952" s="51"/>
      <c r="C1952" s="51"/>
      <c r="D1952" s="51"/>
      <c r="F1952" s="51"/>
    </row>
    <row r="1953" spans="2:6">
      <c r="B1953" s="51"/>
      <c r="C1953" s="51"/>
      <c r="D1953" s="51"/>
      <c r="F1953" s="51"/>
    </row>
    <row r="1954" spans="2:6">
      <c r="B1954" s="51"/>
      <c r="C1954" s="51"/>
      <c r="D1954" s="51"/>
      <c r="F1954" s="51"/>
    </row>
    <row r="1955" spans="2:6">
      <c r="B1955" s="51"/>
      <c r="C1955" s="51"/>
      <c r="D1955" s="51"/>
      <c r="F1955" s="51"/>
    </row>
    <row r="1956" spans="2:6">
      <c r="B1956" s="51"/>
      <c r="C1956" s="51"/>
      <c r="D1956" s="51"/>
      <c r="F1956" s="51"/>
    </row>
    <row r="1957" spans="2:6">
      <c r="B1957" s="51"/>
      <c r="C1957" s="51"/>
      <c r="D1957" s="51"/>
      <c r="F1957" s="51"/>
    </row>
    <row r="1958" spans="2:6">
      <c r="B1958" s="51"/>
      <c r="C1958" s="51"/>
      <c r="D1958" s="51"/>
      <c r="F1958" s="51"/>
    </row>
    <row r="1959" spans="2:6">
      <c r="B1959" s="51"/>
      <c r="C1959" s="51"/>
      <c r="D1959" s="51"/>
      <c r="F1959" s="51"/>
    </row>
    <row r="1960" spans="2:6">
      <c r="B1960" s="51"/>
      <c r="C1960" s="51"/>
      <c r="D1960" s="51"/>
      <c r="F1960" s="51"/>
    </row>
    <row r="1961" spans="2:6">
      <c r="B1961" s="51"/>
      <c r="C1961" s="51"/>
      <c r="D1961" s="51"/>
      <c r="F1961" s="51"/>
    </row>
    <row r="1962" spans="2:6">
      <c r="B1962" s="51"/>
      <c r="C1962" s="51"/>
      <c r="D1962" s="51"/>
      <c r="F1962" s="51"/>
    </row>
    <row r="1963" spans="2:6">
      <c r="B1963" s="51"/>
      <c r="C1963" s="51"/>
      <c r="D1963" s="51"/>
      <c r="F1963" s="51"/>
    </row>
    <row r="1964" spans="2:6">
      <c r="B1964" s="51"/>
      <c r="C1964" s="51"/>
      <c r="D1964" s="51"/>
      <c r="F1964" s="51"/>
    </row>
    <row r="1965" spans="2:6">
      <c r="B1965" s="51"/>
      <c r="C1965" s="51"/>
      <c r="D1965" s="51"/>
      <c r="F1965" s="51"/>
    </row>
    <row r="1966" spans="2:6">
      <c r="B1966" s="51"/>
      <c r="C1966" s="51"/>
      <c r="D1966" s="51"/>
      <c r="F1966" s="51"/>
    </row>
    <row r="1967" spans="2:6">
      <c r="B1967" s="51"/>
      <c r="C1967" s="51"/>
      <c r="D1967" s="51"/>
      <c r="F1967" s="51"/>
    </row>
    <row r="1968" spans="2:6">
      <c r="B1968" s="51"/>
      <c r="C1968" s="51"/>
      <c r="D1968" s="51"/>
      <c r="F1968" s="51"/>
    </row>
    <row r="1969" spans="2:6">
      <c r="B1969" s="51"/>
      <c r="C1969" s="51"/>
      <c r="D1969" s="51"/>
      <c r="F1969" s="51"/>
    </row>
    <row r="1970" spans="2:6">
      <c r="B1970" s="51"/>
      <c r="C1970" s="51"/>
      <c r="D1970" s="51"/>
      <c r="F1970" s="51"/>
    </row>
    <row r="1971" spans="2:6">
      <c r="B1971" s="51"/>
      <c r="C1971" s="51"/>
      <c r="D1971" s="51"/>
      <c r="F1971" s="51"/>
    </row>
    <row r="1972" spans="2:6">
      <c r="B1972" s="51"/>
      <c r="C1972" s="51"/>
      <c r="D1972" s="51"/>
      <c r="F1972" s="51"/>
    </row>
    <row r="1973" spans="2:6">
      <c r="B1973" s="51"/>
      <c r="C1973" s="51"/>
      <c r="D1973" s="51"/>
      <c r="F1973" s="51"/>
    </row>
    <row r="1974" spans="2:6">
      <c r="B1974" s="51"/>
      <c r="C1974" s="51"/>
      <c r="D1974" s="51"/>
      <c r="F1974" s="51"/>
    </row>
    <row r="1975" spans="2:6">
      <c r="B1975" s="51"/>
      <c r="C1975" s="51"/>
      <c r="D1975" s="51"/>
      <c r="F1975" s="51"/>
    </row>
    <row r="1976" spans="2:6">
      <c r="B1976" s="51"/>
      <c r="C1976" s="51"/>
      <c r="D1976" s="51"/>
      <c r="F1976" s="51"/>
    </row>
    <row r="1977" spans="2:6">
      <c r="B1977" s="51"/>
      <c r="C1977" s="51"/>
      <c r="D1977" s="51"/>
      <c r="F1977" s="51"/>
    </row>
    <row r="1978" spans="2:6">
      <c r="B1978" s="51"/>
      <c r="C1978" s="51"/>
      <c r="D1978" s="51"/>
      <c r="F1978" s="51"/>
    </row>
    <row r="1979" spans="2:6">
      <c r="B1979" s="51"/>
      <c r="C1979" s="51"/>
      <c r="D1979" s="51"/>
      <c r="F1979" s="51"/>
    </row>
    <row r="1980" spans="2:6">
      <c r="B1980" s="51"/>
      <c r="C1980" s="51"/>
      <c r="D1980" s="51"/>
      <c r="F1980" s="51"/>
    </row>
    <row r="1981" spans="2:6">
      <c r="B1981" s="51"/>
      <c r="C1981" s="51"/>
      <c r="D1981" s="51"/>
      <c r="F1981" s="51"/>
    </row>
    <row r="1982" spans="2:6">
      <c r="B1982" s="51"/>
      <c r="C1982" s="51"/>
      <c r="D1982" s="51"/>
      <c r="F1982" s="51"/>
    </row>
    <row r="1983" spans="2:6">
      <c r="B1983" s="51"/>
      <c r="C1983" s="51"/>
      <c r="D1983" s="51"/>
      <c r="F1983" s="51"/>
    </row>
    <row r="1984" spans="2:6">
      <c r="B1984" s="51"/>
      <c r="C1984" s="51"/>
      <c r="D1984" s="51"/>
      <c r="F1984" s="51"/>
    </row>
    <row r="1985" spans="2:6">
      <c r="B1985" s="51"/>
      <c r="C1985" s="51"/>
      <c r="D1985" s="51"/>
      <c r="F1985" s="51"/>
    </row>
    <row r="1986" spans="2:6">
      <c r="B1986" s="51"/>
      <c r="C1986" s="51"/>
      <c r="D1986" s="51"/>
      <c r="F1986" s="51"/>
    </row>
    <row r="1987" spans="2:6">
      <c r="B1987" s="51"/>
      <c r="C1987" s="51"/>
      <c r="D1987" s="51"/>
      <c r="F1987" s="51"/>
    </row>
    <row r="1988" spans="2:6">
      <c r="B1988" s="51"/>
      <c r="C1988" s="51"/>
      <c r="D1988" s="51"/>
      <c r="F1988" s="51"/>
    </row>
    <row r="1989" spans="2:6">
      <c r="B1989" s="51"/>
      <c r="C1989" s="51"/>
      <c r="D1989" s="51"/>
      <c r="F1989" s="51"/>
    </row>
    <row r="1990" spans="2:6">
      <c r="B1990" s="51"/>
      <c r="C1990" s="51"/>
      <c r="D1990" s="51"/>
      <c r="F1990" s="51"/>
    </row>
    <row r="1991" spans="2:6">
      <c r="B1991" s="51"/>
      <c r="C1991" s="51"/>
      <c r="D1991" s="51"/>
      <c r="F1991" s="51"/>
    </row>
    <row r="1992" spans="2:6">
      <c r="B1992" s="51"/>
      <c r="C1992" s="51"/>
      <c r="D1992" s="51"/>
      <c r="F1992" s="51"/>
    </row>
    <row r="1993" spans="2:6">
      <c r="B1993" s="51"/>
      <c r="C1993" s="51"/>
      <c r="D1993" s="51"/>
      <c r="F1993" s="51"/>
    </row>
    <row r="1994" spans="2:6">
      <c r="B1994" s="51"/>
      <c r="C1994" s="51"/>
      <c r="D1994" s="51"/>
      <c r="F1994" s="51"/>
    </row>
    <row r="1995" spans="2:6">
      <c r="B1995" s="51"/>
      <c r="C1995" s="51"/>
      <c r="D1995" s="51"/>
      <c r="F1995" s="51"/>
    </row>
    <row r="1996" spans="2:6">
      <c r="B1996" s="51"/>
      <c r="C1996" s="51"/>
      <c r="D1996" s="51"/>
      <c r="F1996" s="51"/>
    </row>
    <row r="1997" spans="2:6">
      <c r="B1997" s="51"/>
      <c r="C1997" s="51"/>
      <c r="D1997" s="51"/>
      <c r="F1997" s="51"/>
    </row>
    <row r="1998" spans="2:6">
      <c r="B1998" s="51"/>
      <c r="C1998" s="51"/>
      <c r="D1998" s="51"/>
      <c r="F1998" s="51"/>
    </row>
    <row r="1999" spans="2:6">
      <c r="B1999" s="51"/>
      <c r="C1999" s="51"/>
      <c r="D1999" s="51"/>
      <c r="F1999" s="51"/>
    </row>
    <row r="2000" spans="2:6">
      <c r="B2000" s="51"/>
      <c r="C2000" s="51"/>
      <c r="D2000" s="51"/>
      <c r="F2000" s="51"/>
    </row>
    <row r="2001" spans="2:6">
      <c r="B2001" s="51"/>
      <c r="C2001" s="51"/>
      <c r="D2001" s="51"/>
      <c r="F2001" s="51"/>
    </row>
    <row r="2002" spans="2:6">
      <c r="B2002" s="51"/>
      <c r="C2002" s="51"/>
      <c r="D2002" s="51"/>
      <c r="F2002" s="51"/>
    </row>
    <row r="2003" spans="2:6">
      <c r="B2003" s="51"/>
      <c r="C2003" s="51"/>
      <c r="D2003" s="51"/>
      <c r="F2003" s="51"/>
    </row>
    <row r="2004" spans="2:6">
      <c r="B2004" s="51"/>
      <c r="C2004" s="51"/>
      <c r="D2004" s="51"/>
      <c r="F2004" s="51"/>
    </row>
    <row r="2005" spans="2:6">
      <c r="B2005" s="51"/>
      <c r="C2005" s="51"/>
      <c r="D2005" s="51"/>
      <c r="F2005" s="51"/>
    </row>
    <row r="2006" spans="2:6">
      <c r="B2006" s="51"/>
      <c r="C2006" s="51"/>
      <c r="D2006" s="51"/>
      <c r="F2006" s="51"/>
    </row>
    <row r="2007" spans="2:6">
      <c r="B2007" s="51"/>
      <c r="C2007" s="51"/>
      <c r="D2007" s="51"/>
      <c r="F2007" s="51"/>
    </row>
    <row r="2008" spans="2:6">
      <c r="B2008" s="51"/>
      <c r="C2008" s="51"/>
      <c r="D2008" s="51"/>
      <c r="F2008" s="51"/>
    </row>
    <row r="2009" spans="2:6">
      <c r="B2009" s="51"/>
      <c r="C2009" s="51"/>
      <c r="D2009" s="51"/>
      <c r="F2009" s="51"/>
    </row>
    <row r="2010" spans="2:6">
      <c r="B2010" s="51"/>
      <c r="C2010" s="51"/>
      <c r="D2010" s="51"/>
      <c r="F2010" s="51"/>
    </row>
    <row r="2011" spans="2:6">
      <c r="B2011" s="51"/>
      <c r="C2011" s="51"/>
      <c r="D2011" s="51"/>
      <c r="F2011" s="51"/>
    </row>
    <row r="2012" spans="2:6">
      <c r="B2012" s="51"/>
      <c r="C2012" s="51"/>
      <c r="D2012" s="51"/>
      <c r="F2012" s="51"/>
    </row>
    <row r="2013" spans="2:6">
      <c r="B2013" s="51"/>
      <c r="C2013" s="51"/>
      <c r="D2013" s="51"/>
      <c r="F2013" s="51"/>
    </row>
    <row r="2014" spans="2:6">
      <c r="B2014" s="51"/>
      <c r="C2014" s="51"/>
      <c r="D2014" s="51"/>
      <c r="F2014" s="51"/>
    </row>
    <row r="2015" spans="2:6">
      <c r="B2015" s="51"/>
      <c r="C2015" s="51"/>
      <c r="D2015" s="51"/>
      <c r="F2015" s="51"/>
    </row>
    <row r="2016" spans="2:6">
      <c r="B2016" s="51"/>
      <c r="C2016" s="51"/>
      <c r="D2016" s="51"/>
      <c r="F2016" s="51"/>
    </row>
    <row r="2017" spans="2:6">
      <c r="B2017" s="51"/>
      <c r="C2017" s="51"/>
      <c r="D2017" s="51"/>
      <c r="F2017" s="51"/>
    </row>
    <row r="2018" spans="2:6">
      <c r="B2018" s="51"/>
      <c r="C2018" s="51"/>
      <c r="D2018" s="51"/>
      <c r="F2018" s="51"/>
    </row>
    <row r="2019" spans="2:6">
      <c r="B2019" s="51"/>
      <c r="C2019" s="51"/>
      <c r="D2019" s="51"/>
      <c r="F2019" s="51"/>
    </row>
    <row r="2020" spans="2:6">
      <c r="B2020" s="51"/>
      <c r="C2020" s="51"/>
      <c r="D2020" s="51"/>
      <c r="F2020" s="51"/>
    </row>
    <row r="2021" spans="2:6">
      <c r="B2021" s="51"/>
      <c r="C2021" s="51"/>
      <c r="D2021" s="51"/>
      <c r="F2021" s="51"/>
    </row>
    <row r="2022" spans="2:6">
      <c r="B2022" s="51"/>
      <c r="C2022" s="51"/>
      <c r="D2022" s="51"/>
      <c r="F2022" s="51"/>
    </row>
    <row r="2023" spans="2:6">
      <c r="B2023" s="51"/>
      <c r="C2023" s="51"/>
      <c r="D2023" s="51"/>
      <c r="F2023" s="51"/>
    </row>
    <row r="2024" spans="2:6">
      <c r="B2024" s="51"/>
      <c r="C2024" s="51"/>
      <c r="D2024" s="51"/>
      <c r="F2024" s="51"/>
    </row>
    <row r="2025" spans="2:6">
      <c r="B2025" s="51"/>
      <c r="C2025" s="51"/>
      <c r="D2025" s="51"/>
      <c r="F2025" s="51"/>
    </row>
    <row r="2026" spans="2:6">
      <c r="B2026" s="51"/>
      <c r="C2026" s="51"/>
      <c r="D2026" s="51"/>
      <c r="F2026" s="51"/>
    </row>
    <row r="2027" spans="2:6">
      <c r="B2027" s="51"/>
      <c r="C2027" s="51"/>
      <c r="D2027" s="51"/>
      <c r="F2027" s="51"/>
    </row>
    <row r="2028" spans="2:6">
      <c r="B2028" s="51"/>
      <c r="C2028" s="51"/>
      <c r="D2028" s="51"/>
      <c r="F2028" s="51"/>
    </row>
    <row r="2029" spans="2:6">
      <c r="B2029" s="51"/>
      <c r="C2029" s="51"/>
      <c r="D2029" s="51"/>
      <c r="F2029" s="51"/>
    </row>
    <row r="2030" spans="2:6">
      <c r="B2030" s="51"/>
      <c r="C2030" s="51"/>
      <c r="D2030" s="51"/>
      <c r="F2030" s="51"/>
    </row>
    <row r="2031" spans="2:6">
      <c r="B2031" s="51"/>
      <c r="C2031" s="51"/>
      <c r="D2031" s="51"/>
      <c r="F2031" s="51"/>
    </row>
    <row r="2032" spans="2:6">
      <c r="B2032" s="51"/>
      <c r="C2032" s="51"/>
      <c r="D2032" s="51"/>
      <c r="F2032" s="51"/>
    </row>
    <row r="2033" spans="2:6">
      <c r="B2033" s="51"/>
      <c r="C2033" s="51"/>
      <c r="D2033" s="51"/>
      <c r="F2033" s="51"/>
    </row>
    <row r="2034" spans="2:6">
      <c r="B2034" s="51"/>
      <c r="C2034" s="51"/>
      <c r="D2034" s="51"/>
      <c r="F2034" s="51"/>
    </row>
    <row r="2035" spans="2:6">
      <c r="B2035" s="51"/>
      <c r="C2035" s="51"/>
      <c r="D2035" s="51"/>
      <c r="F2035" s="51"/>
    </row>
    <row r="2036" spans="2:6">
      <c r="B2036" s="51"/>
      <c r="C2036" s="51"/>
      <c r="D2036" s="51"/>
      <c r="F2036" s="51"/>
    </row>
    <row r="2037" spans="2:6">
      <c r="B2037" s="51"/>
      <c r="C2037" s="51"/>
      <c r="D2037" s="51"/>
      <c r="F2037" s="51"/>
    </row>
    <row r="2038" spans="2:6">
      <c r="B2038" s="51"/>
      <c r="C2038" s="51"/>
      <c r="D2038" s="51"/>
      <c r="F2038" s="51"/>
    </row>
    <row r="2039" spans="2:6">
      <c r="B2039" s="51"/>
      <c r="C2039" s="51"/>
      <c r="D2039" s="51"/>
      <c r="F2039" s="51"/>
    </row>
    <row r="2040" spans="2:6">
      <c r="B2040" s="51"/>
      <c r="C2040" s="51"/>
      <c r="D2040" s="51"/>
      <c r="F2040" s="51"/>
    </row>
    <row r="2041" spans="2:6">
      <c r="B2041" s="51"/>
      <c r="C2041" s="51"/>
      <c r="D2041" s="51"/>
      <c r="F2041" s="51"/>
    </row>
    <row r="2042" spans="2:6">
      <c r="B2042" s="51"/>
      <c r="C2042" s="51"/>
      <c r="D2042" s="51"/>
      <c r="F2042" s="51"/>
    </row>
    <row r="2043" spans="2:6">
      <c r="B2043" s="51"/>
      <c r="C2043" s="51"/>
      <c r="D2043" s="51"/>
      <c r="F2043" s="51"/>
    </row>
    <row r="2044" spans="2:6">
      <c r="B2044" s="51"/>
      <c r="C2044" s="51"/>
      <c r="D2044" s="51"/>
      <c r="F2044" s="51"/>
    </row>
    <row r="2045" spans="2:6">
      <c r="B2045" s="51"/>
      <c r="C2045" s="51"/>
      <c r="D2045" s="51"/>
      <c r="F2045" s="51"/>
    </row>
    <row r="2046" spans="2:6">
      <c r="B2046" s="51"/>
      <c r="C2046" s="51"/>
      <c r="D2046" s="51"/>
      <c r="F2046" s="51"/>
    </row>
    <row r="2047" spans="2:6">
      <c r="B2047" s="51"/>
      <c r="C2047" s="51"/>
      <c r="D2047" s="51"/>
      <c r="F2047" s="51"/>
    </row>
    <row r="2048" spans="2:6">
      <c r="B2048" s="51"/>
      <c r="C2048" s="51"/>
      <c r="D2048" s="51"/>
      <c r="F2048" s="51"/>
    </row>
    <row r="2049" spans="2:6">
      <c r="B2049" s="51"/>
      <c r="C2049" s="51"/>
      <c r="D2049" s="51"/>
      <c r="F2049" s="51"/>
    </row>
    <row r="2050" spans="2:6">
      <c r="B2050" s="51"/>
      <c r="C2050" s="51"/>
      <c r="D2050" s="51"/>
      <c r="F2050" s="51"/>
    </row>
    <row r="2051" spans="2:6">
      <c r="B2051" s="51"/>
      <c r="C2051" s="51"/>
      <c r="D2051" s="51"/>
      <c r="F2051" s="51"/>
    </row>
    <row r="2052" spans="2:6">
      <c r="B2052" s="51"/>
      <c r="C2052" s="51"/>
      <c r="D2052" s="51"/>
      <c r="F2052" s="51"/>
    </row>
    <row r="2053" spans="2:6">
      <c r="B2053" s="51"/>
      <c r="C2053" s="51"/>
      <c r="D2053" s="51"/>
      <c r="F2053" s="51"/>
    </row>
    <row r="2054" spans="2:6">
      <c r="B2054" s="51"/>
      <c r="C2054" s="51"/>
      <c r="D2054" s="51"/>
      <c r="F2054" s="51"/>
    </row>
    <row r="2055" spans="2:6">
      <c r="B2055" s="51"/>
      <c r="C2055" s="51"/>
      <c r="D2055" s="51"/>
      <c r="F2055" s="51"/>
    </row>
    <row r="2056" spans="2:6">
      <c r="B2056" s="51"/>
      <c r="C2056" s="51"/>
      <c r="D2056" s="51"/>
      <c r="F2056" s="51"/>
    </row>
    <row r="2057" spans="2:6">
      <c r="B2057" s="51"/>
      <c r="C2057" s="51"/>
      <c r="D2057" s="51"/>
      <c r="F2057" s="51"/>
    </row>
    <row r="2058" spans="2:6">
      <c r="B2058" s="51"/>
      <c r="C2058" s="51"/>
      <c r="D2058" s="51"/>
      <c r="F2058" s="51"/>
    </row>
    <row r="2059" spans="2:6">
      <c r="B2059" s="51"/>
      <c r="C2059" s="51"/>
      <c r="D2059" s="51"/>
      <c r="F2059" s="51"/>
    </row>
    <row r="2060" spans="2:6">
      <c r="B2060" s="51"/>
      <c r="C2060" s="51"/>
      <c r="D2060" s="51"/>
      <c r="F2060" s="51"/>
    </row>
    <row r="2061" spans="2:6">
      <c r="B2061" s="51"/>
      <c r="C2061" s="51"/>
      <c r="D2061" s="51"/>
      <c r="F2061" s="51"/>
    </row>
    <row r="2062" spans="2:6">
      <c r="B2062" s="51"/>
      <c r="C2062" s="51"/>
      <c r="D2062" s="51"/>
      <c r="F2062" s="51"/>
    </row>
    <row r="2063" spans="2:6">
      <c r="B2063" s="51"/>
      <c r="C2063" s="51"/>
      <c r="D2063" s="51"/>
      <c r="F2063" s="51"/>
    </row>
    <row r="2064" spans="2:6">
      <c r="B2064" s="51"/>
      <c r="C2064" s="51"/>
      <c r="D2064" s="51"/>
      <c r="F2064" s="51"/>
    </row>
    <row r="2065" spans="2:6">
      <c r="B2065" s="51"/>
      <c r="C2065" s="51"/>
      <c r="D2065" s="51"/>
      <c r="F2065" s="51"/>
    </row>
    <row r="2066" spans="2:6">
      <c r="B2066" s="51"/>
      <c r="C2066" s="51"/>
      <c r="D2066" s="51"/>
      <c r="F2066" s="51"/>
    </row>
    <row r="2067" spans="2:6">
      <c r="B2067" s="51"/>
      <c r="C2067" s="51"/>
      <c r="D2067" s="51"/>
      <c r="F2067" s="51"/>
    </row>
    <row r="2068" spans="2:6">
      <c r="B2068" s="51"/>
      <c r="C2068" s="51"/>
      <c r="D2068" s="51"/>
      <c r="F2068" s="51"/>
    </row>
    <row r="2069" spans="2:6">
      <c r="B2069" s="51"/>
      <c r="C2069" s="51"/>
      <c r="D2069" s="51"/>
      <c r="F2069" s="51"/>
    </row>
    <row r="2070" spans="2:6">
      <c r="B2070" s="51"/>
      <c r="C2070" s="51"/>
      <c r="D2070" s="51"/>
      <c r="F2070" s="51"/>
    </row>
    <row r="2071" spans="2:6">
      <c r="B2071" s="51"/>
      <c r="C2071" s="51"/>
      <c r="D2071" s="51"/>
      <c r="F2071" s="51"/>
    </row>
    <row r="2072" spans="2:6">
      <c r="B2072" s="51"/>
      <c r="C2072" s="51"/>
      <c r="D2072" s="51"/>
      <c r="F2072" s="51"/>
    </row>
    <row r="2073" spans="2:6">
      <c r="B2073" s="51"/>
      <c r="C2073" s="51"/>
      <c r="D2073" s="51"/>
      <c r="F2073" s="51"/>
    </row>
    <row r="2074" spans="2:6">
      <c r="B2074" s="51"/>
      <c r="C2074" s="51"/>
      <c r="D2074" s="51"/>
      <c r="F2074" s="51"/>
    </row>
    <row r="2075" spans="2:6">
      <c r="B2075" s="51"/>
      <c r="C2075" s="51"/>
      <c r="D2075" s="51"/>
      <c r="F2075" s="51"/>
    </row>
    <row r="2076" spans="2:6">
      <c r="B2076" s="51"/>
      <c r="C2076" s="51"/>
      <c r="D2076" s="51"/>
      <c r="F2076" s="51"/>
    </row>
    <row r="2077" spans="2:6">
      <c r="B2077" s="51"/>
      <c r="C2077" s="51"/>
      <c r="D2077" s="51"/>
      <c r="F2077" s="51"/>
    </row>
    <row r="2078" spans="2:6">
      <c r="B2078" s="51"/>
      <c r="C2078" s="51"/>
      <c r="D2078" s="51"/>
      <c r="F2078" s="51"/>
    </row>
    <row r="2079" spans="2:6">
      <c r="B2079" s="51"/>
      <c r="C2079" s="51"/>
      <c r="D2079" s="51"/>
      <c r="F2079" s="51"/>
    </row>
    <row r="2080" spans="2:6">
      <c r="B2080" s="51"/>
      <c r="C2080" s="51"/>
      <c r="D2080" s="51"/>
      <c r="F2080" s="51"/>
    </row>
    <row r="2081" spans="2:6">
      <c r="B2081" s="51"/>
      <c r="C2081" s="51"/>
      <c r="D2081" s="51"/>
      <c r="F2081" s="51"/>
    </row>
    <row r="2082" spans="2:6">
      <c r="B2082" s="51"/>
      <c r="C2082" s="51"/>
      <c r="D2082" s="51"/>
      <c r="F2082" s="51"/>
    </row>
    <row r="2083" spans="2:6">
      <c r="B2083" s="51"/>
      <c r="C2083" s="51"/>
      <c r="D2083" s="51"/>
      <c r="F2083" s="51"/>
    </row>
    <row r="2084" spans="2:6">
      <c r="B2084" s="51"/>
      <c r="C2084" s="51"/>
      <c r="D2084" s="51"/>
      <c r="F2084" s="51"/>
    </row>
    <row r="2085" spans="2:6">
      <c r="B2085" s="51"/>
      <c r="C2085" s="51"/>
      <c r="D2085" s="51"/>
      <c r="F2085" s="51"/>
    </row>
    <row r="2086" spans="2:6">
      <c r="B2086" s="51"/>
      <c r="C2086" s="51"/>
      <c r="D2086" s="51"/>
      <c r="F2086" s="51"/>
    </row>
    <row r="2087" spans="2:6">
      <c r="B2087" s="51"/>
      <c r="C2087" s="51"/>
      <c r="D2087" s="51"/>
      <c r="F2087" s="51"/>
    </row>
    <row r="2088" spans="2:6">
      <c r="B2088" s="51"/>
      <c r="C2088" s="51"/>
      <c r="D2088" s="51"/>
      <c r="F2088" s="51"/>
    </row>
    <row r="2089" spans="2:6">
      <c r="B2089" s="51"/>
      <c r="C2089" s="51"/>
      <c r="D2089" s="51"/>
      <c r="F2089" s="51"/>
    </row>
    <row r="2090" spans="2:6">
      <c r="B2090" s="51"/>
      <c r="C2090" s="51"/>
      <c r="D2090" s="51"/>
      <c r="F2090" s="51"/>
    </row>
    <row r="2091" spans="2:6">
      <c r="B2091" s="51"/>
      <c r="C2091" s="51"/>
      <c r="D2091" s="51"/>
      <c r="F2091" s="51"/>
    </row>
    <row r="2092" spans="2:6">
      <c r="B2092" s="51"/>
      <c r="C2092" s="51"/>
      <c r="D2092" s="51"/>
      <c r="F2092" s="51"/>
    </row>
    <row r="2093" spans="2:6">
      <c r="B2093" s="51"/>
      <c r="C2093" s="51"/>
      <c r="D2093" s="51"/>
      <c r="F2093" s="51"/>
    </row>
    <row r="2094" spans="2:6">
      <c r="B2094" s="51"/>
      <c r="C2094" s="51"/>
      <c r="D2094" s="51"/>
      <c r="F2094" s="51"/>
    </row>
    <row r="2095" spans="2:6">
      <c r="B2095" s="51"/>
      <c r="C2095" s="51"/>
      <c r="D2095" s="51"/>
      <c r="F2095" s="51"/>
    </row>
    <row r="2096" spans="2:6">
      <c r="B2096" s="51"/>
      <c r="C2096" s="51"/>
      <c r="D2096" s="51"/>
      <c r="F2096" s="51"/>
    </row>
    <row r="2097" spans="2:6">
      <c r="B2097" s="51"/>
      <c r="C2097" s="51"/>
      <c r="D2097" s="51"/>
      <c r="F2097" s="51"/>
    </row>
    <row r="2098" spans="2:6">
      <c r="B2098" s="51"/>
      <c r="C2098" s="51"/>
      <c r="D2098" s="51"/>
      <c r="F2098" s="51"/>
    </row>
    <row r="2099" spans="2:6">
      <c r="B2099" s="51"/>
      <c r="C2099" s="51"/>
      <c r="D2099" s="51"/>
      <c r="F2099" s="51"/>
    </row>
    <row r="2100" spans="2:6">
      <c r="B2100" s="51"/>
      <c r="C2100" s="51"/>
      <c r="D2100" s="51"/>
      <c r="F2100" s="51"/>
    </row>
    <row r="2101" spans="2:6">
      <c r="B2101" s="51"/>
      <c r="C2101" s="51"/>
      <c r="D2101" s="51"/>
      <c r="F2101" s="51"/>
    </row>
    <row r="2102" spans="2:6">
      <c r="B2102" s="51"/>
      <c r="C2102" s="51"/>
      <c r="D2102" s="51"/>
      <c r="F2102" s="51"/>
    </row>
    <row r="2103" spans="2:6">
      <c r="B2103" s="51"/>
      <c r="C2103" s="51"/>
      <c r="D2103" s="51"/>
      <c r="F2103" s="51"/>
    </row>
    <row r="2104" spans="2:6">
      <c r="B2104" s="51"/>
      <c r="C2104" s="51"/>
      <c r="D2104" s="51"/>
      <c r="F2104" s="51"/>
    </row>
    <row r="2105" spans="2:6">
      <c r="B2105" s="51"/>
      <c r="C2105" s="51"/>
      <c r="D2105" s="51"/>
      <c r="F2105" s="51"/>
    </row>
    <row r="2106" spans="2:6">
      <c r="B2106" s="51"/>
      <c r="C2106" s="51"/>
      <c r="D2106" s="51"/>
      <c r="F2106" s="51"/>
    </row>
    <row r="2107" spans="2:6">
      <c r="B2107" s="51"/>
      <c r="C2107" s="51"/>
      <c r="D2107" s="51"/>
      <c r="F2107" s="51"/>
    </row>
    <row r="2108" spans="2:6">
      <c r="B2108" s="51"/>
      <c r="C2108" s="51"/>
      <c r="D2108" s="51"/>
      <c r="F2108" s="51"/>
    </row>
    <row r="2109" spans="2:6">
      <c r="B2109" s="51"/>
      <c r="C2109" s="51"/>
      <c r="D2109" s="51"/>
      <c r="F2109" s="51"/>
    </row>
    <row r="2110" spans="2:6">
      <c r="B2110" s="51"/>
      <c r="C2110" s="51"/>
      <c r="D2110" s="51"/>
      <c r="F2110" s="51"/>
    </row>
    <row r="2111" spans="2:6">
      <c r="B2111" s="51"/>
      <c r="C2111" s="51"/>
      <c r="D2111" s="51"/>
      <c r="F2111" s="51"/>
    </row>
    <row r="2112" spans="2:6">
      <c r="B2112" s="51"/>
      <c r="C2112" s="51"/>
      <c r="D2112" s="51"/>
      <c r="F2112" s="51"/>
    </row>
    <row r="2113" spans="2:6">
      <c r="B2113" s="51"/>
      <c r="C2113" s="51"/>
      <c r="D2113" s="51"/>
      <c r="F2113" s="51"/>
    </row>
    <row r="2114" spans="2:6">
      <c r="B2114" s="51"/>
      <c r="C2114" s="51"/>
      <c r="D2114" s="51"/>
      <c r="F2114" s="51"/>
    </row>
    <row r="2115" spans="2:6">
      <c r="B2115" s="51"/>
      <c r="C2115" s="51"/>
      <c r="D2115" s="51"/>
      <c r="F2115" s="51"/>
    </row>
    <row r="2116" spans="2:6">
      <c r="B2116" s="51"/>
      <c r="C2116" s="51"/>
      <c r="D2116" s="51"/>
      <c r="F2116" s="51"/>
    </row>
    <row r="2117" spans="2:6">
      <c r="B2117" s="51"/>
      <c r="C2117" s="51"/>
      <c r="D2117" s="51"/>
      <c r="F2117" s="51"/>
    </row>
    <row r="2118" spans="2:6">
      <c r="B2118" s="51"/>
      <c r="C2118" s="51"/>
      <c r="D2118" s="51"/>
      <c r="F2118" s="51"/>
    </row>
    <row r="2119" spans="2:6">
      <c r="B2119" s="51"/>
      <c r="C2119" s="51"/>
      <c r="D2119" s="51"/>
      <c r="F2119" s="51"/>
    </row>
    <row r="2120" spans="2:6">
      <c r="B2120" s="51"/>
      <c r="C2120" s="51"/>
      <c r="D2120" s="51"/>
      <c r="F2120" s="51"/>
    </row>
    <row r="2121" spans="2:6">
      <c r="B2121" s="51"/>
      <c r="C2121" s="51"/>
      <c r="D2121" s="51"/>
      <c r="F2121" s="51"/>
    </row>
    <row r="2122" spans="2:6">
      <c r="B2122" s="51"/>
      <c r="C2122" s="51"/>
      <c r="D2122" s="51"/>
      <c r="F2122" s="51"/>
    </row>
    <row r="2123" spans="2:6">
      <c r="B2123" s="51"/>
      <c r="C2123" s="51"/>
      <c r="D2123" s="51"/>
      <c r="F2123" s="51"/>
    </row>
    <row r="2124" spans="2:6">
      <c r="B2124" s="51"/>
      <c r="C2124" s="51"/>
      <c r="D2124" s="51"/>
      <c r="F2124" s="51"/>
    </row>
    <row r="2125" spans="2:6">
      <c r="B2125" s="51"/>
      <c r="C2125" s="51"/>
      <c r="D2125" s="51"/>
      <c r="F2125" s="51"/>
    </row>
    <row r="2126" spans="2:6">
      <c r="B2126" s="51"/>
      <c r="C2126" s="51"/>
      <c r="D2126" s="51"/>
      <c r="F2126" s="51"/>
    </row>
    <row r="2127" spans="2:6">
      <c r="B2127" s="51"/>
      <c r="C2127" s="51"/>
      <c r="D2127" s="51"/>
      <c r="F2127" s="51"/>
    </row>
    <row r="2128" spans="2:6">
      <c r="B2128" s="51"/>
      <c r="C2128" s="51"/>
      <c r="D2128" s="51"/>
      <c r="F2128" s="51"/>
    </row>
    <row r="2129" spans="2:6">
      <c r="B2129" s="51"/>
      <c r="C2129" s="51"/>
      <c r="D2129" s="51"/>
      <c r="F2129" s="51"/>
    </row>
    <row r="2130" spans="2:6">
      <c r="B2130" s="51"/>
      <c r="C2130" s="51"/>
      <c r="D2130" s="51"/>
      <c r="F2130" s="51"/>
    </row>
    <row r="2131" spans="2:6">
      <c r="B2131" s="51"/>
      <c r="C2131" s="51"/>
      <c r="D2131" s="51"/>
      <c r="F2131" s="51"/>
    </row>
    <row r="2132" spans="2:6">
      <c r="B2132" s="51"/>
      <c r="C2132" s="51"/>
      <c r="D2132" s="51"/>
      <c r="F2132" s="51"/>
    </row>
    <row r="2133" spans="2:6">
      <c r="B2133" s="51"/>
      <c r="C2133" s="51"/>
      <c r="D2133" s="51"/>
      <c r="F2133" s="51"/>
    </row>
    <row r="2134" spans="2:6">
      <c r="B2134" s="51"/>
      <c r="C2134" s="51"/>
      <c r="D2134" s="51"/>
      <c r="F2134" s="51"/>
    </row>
    <row r="2135" spans="2:6">
      <c r="B2135" s="51"/>
      <c r="C2135" s="51"/>
      <c r="D2135" s="51"/>
      <c r="F2135" s="51"/>
    </row>
    <row r="2136" spans="2:6">
      <c r="B2136" s="51"/>
      <c r="C2136" s="51"/>
      <c r="D2136" s="51"/>
      <c r="F2136" s="51"/>
    </row>
    <row r="2137" spans="2:6">
      <c r="B2137" s="51"/>
      <c r="C2137" s="51"/>
      <c r="D2137" s="51"/>
      <c r="F2137" s="51"/>
    </row>
    <row r="2138" spans="2:6">
      <c r="B2138" s="51"/>
      <c r="C2138" s="51"/>
      <c r="D2138" s="51"/>
      <c r="F2138" s="51"/>
    </row>
    <row r="2139" spans="2:6">
      <c r="B2139" s="51"/>
      <c r="C2139" s="51"/>
      <c r="D2139" s="51"/>
      <c r="F2139" s="51"/>
    </row>
    <row r="2140" spans="2:6">
      <c r="B2140" s="51"/>
      <c r="C2140" s="51"/>
      <c r="D2140" s="51"/>
      <c r="F2140" s="51"/>
    </row>
    <row r="2141" spans="2:6">
      <c r="B2141" s="51"/>
      <c r="C2141" s="51"/>
      <c r="D2141" s="51"/>
      <c r="F2141" s="51"/>
    </row>
    <row r="2142" spans="2:6">
      <c r="B2142" s="51"/>
      <c r="C2142" s="51"/>
      <c r="D2142" s="51"/>
      <c r="F2142" s="51"/>
    </row>
    <row r="2143" spans="2:6">
      <c r="B2143" s="51"/>
      <c r="C2143" s="51"/>
      <c r="D2143" s="51"/>
      <c r="F2143" s="51"/>
    </row>
    <row r="2144" spans="2:6">
      <c r="B2144" s="51"/>
      <c r="C2144" s="51"/>
      <c r="D2144" s="51"/>
      <c r="F2144" s="51"/>
    </row>
    <row r="2145" spans="2:6">
      <c r="B2145" s="51"/>
      <c r="C2145" s="51"/>
      <c r="D2145" s="51"/>
      <c r="F2145" s="51"/>
    </row>
    <row r="2146" spans="2:6">
      <c r="B2146" s="51"/>
      <c r="C2146" s="51"/>
      <c r="D2146" s="51"/>
      <c r="F2146" s="51"/>
    </row>
    <row r="2147" spans="2:6">
      <c r="B2147" s="51"/>
      <c r="C2147" s="51"/>
      <c r="D2147" s="51"/>
      <c r="F2147" s="51"/>
    </row>
    <row r="2148" spans="2:6">
      <c r="B2148" s="51"/>
      <c r="C2148" s="51"/>
      <c r="D2148" s="51"/>
      <c r="F2148" s="51"/>
    </row>
    <row r="2149" spans="2:6">
      <c r="B2149" s="51"/>
      <c r="C2149" s="51"/>
      <c r="D2149" s="51"/>
      <c r="F2149" s="51"/>
    </row>
    <row r="2150" spans="2:6">
      <c r="B2150" s="51"/>
      <c r="C2150" s="51"/>
      <c r="D2150" s="51"/>
      <c r="F2150" s="51"/>
    </row>
    <row r="2151" spans="2:6">
      <c r="B2151" s="51"/>
      <c r="C2151" s="51"/>
      <c r="D2151" s="51"/>
      <c r="F2151" s="51"/>
    </row>
    <row r="2152" spans="2:6">
      <c r="B2152" s="51"/>
      <c r="C2152" s="51"/>
      <c r="D2152" s="51"/>
      <c r="F2152" s="51"/>
    </row>
    <row r="2153" spans="2:6">
      <c r="B2153" s="51"/>
      <c r="C2153" s="51"/>
      <c r="D2153" s="51"/>
      <c r="F2153" s="51"/>
    </row>
    <row r="2154" spans="2:6">
      <c r="B2154" s="51"/>
      <c r="C2154" s="51"/>
      <c r="D2154" s="51"/>
      <c r="F2154" s="51"/>
    </row>
    <row r="2155" spans="2:6">
      <c r="B2155" s="51"/>
      <c r="C2155" s="51"/>
      <c r="D2155" s="51"/>
      <c r="F2155" s="51"/>
    </row>
    <row r="2156" spans="2:6">
      <c r="B2156" s="51"/>
      <c r="C2156" s="51"/>
      <c r="D2156" s="51"/>
      <c r="F2156" s="51"/>
    </row>
    <row r="2157" spans="2:6">
      <c r="B2157" s="51"/>
      <c r="C2157" s="51"/>
      <c r="D2157" s="51"/>
      <c r="F2157" s="51"/>
    </row>
    <row r="2158" spans="2:6">
      <c r="B2158" s="51"/>
      <c r="C2158" s="51"/>
      <c r="D2158" s="51"/>
      <c r="F2158" s="51"/>
    </row>
    <row r="2159" spans="2:6">
      <c r="B2159" s="51"/>
      <c r="C2159" s="51"/>
      <c r="D2159" s="51"/>
      <c r="F2159" s="51"/>
    </row>
    <row r="2160" spans="2:6">
      <c r="B2160" s="51"/>
      <c r="C2160" s="51"/>
      <c r="D2160" s="51"/>
      <c r="F2160" s="51"/>
    </row>
    <row r="2161" spans="2:6">
      <c r="B2161" s="51"/>
      <c r="C2161" s="51"/>
      <c r="D2161" s="51"/>
      <c r="F2161" s="51"/>
    </row>
    <row r="2162" spans="2:6">
      <c r="B2162" s="51"/>
      <c r="C2162" s="51"/>
      <c r="D2162" s="51"/>
      <c r="F2162" s="51"/>
    </row>
    <row r="2163" spans="2:6">
      <c r="B2163" s="51"/>
      <c r="C2163" s="51"/>
      <c r="D2163" s="51"/>
      <c r="F2163" s="51"/>
    </row>
    <row r="2164" spans="2:6">
      <c r="B2164" s="51"/>
      <c r="C2164" s="51"/>
      <c r="D2164" s="51"/>
      <c r="F2164" s="51"/>
    </row>
    <row r="2165" spans="2:6">
      <c r="B2165" s="51"/>
      <c r="C2165" s="51"/>
      <c r="D2165" s="51"/>
      <c r="F2165" s="51"/>
    </row>
    <row r="2166" spans="2:6">
      <c r="B2166" s="51"/>
      <c r="C2166" s="51"/>
      <c r="D2166" s="51"/>
      <c r="F2166" s="51"/>
    </row>
    <row r="2167" spans="2:6">
      <c r="B2167" s="51"/>
      <c r="C2167" s="51"/>
      <c r="D2167" s="51"/>
      <c r="F2167" s="51"/>
    </row>
    <row r="2168" spans="2:6">
      <c r="B2168" s="51"/>
      <c r="C2168" s="51"/>
      <c r="D2168" s="51"/>
      <c r="F2168" s="51"/>
    </row>
    <row r="2169" spans="2:6">
      <c r="B2169" s="51"/>
      <c r="C2169" s="51"/>
      <c r="D2169" s="51"/>
      <c r="F2169" s="51"/>
    </row>
    <row r="2170" spans="2:6">
      <c r="B2170" s="51"/>
      <c r="C2170" s="51"/>
      <c r="D2170" s="51"/>
      <c r="F2170" s="51"/>
    </row>
    <row r="2171" spans="2:6">
      <c r="B2171" s="51"/>
      <c r="C2171" s="51"/>
      <c r="D2171" s="51"/>
      <c r="F2171" s="51"/>
    </row>
    <row r="2172" spans="2:6">
      <c r="B2172" s="51"/>
      <c r="C2172" s="51"/>
      <c r="D2172" s="51"/>
      <c r="F2172" s="51"/>
    </row>
    <row r="2173" spans="2:6">
      <c r="B2173" s="51"/>
      <c r="C2173" s="51"/>
      <c r="D2173" s="51"/>
      <c r="F2173" s="51"/>
    </row>
    <row r="2174" spans="2:6">
      <c r="B2174" s="51"/>
      <c r="C2174" s="51"/>
      <c r="D2174" s="51"/>
      <c r="F2174" s="51"/>
    </row>
    <row r="2175" spans="2:6">
      <c r="B2175" s="51"/>
      <c r="C2175" s="51"/>
      <c r="D2175" s="51"/>
      <c r="F2175" s="51"/>
    </row>
    <row r="2176" spans="2:6">
      <c r="B2176" s="51"/>
      <c r="C2176" s="51"/>
      <c r="D2176" s="51"/>
      <c r="F2176" s="51"/>
    </row>
    <row r="2177" spans="2:6">
      <c r="B2177" s="51"/>
      <c r="C2177" s="51"/>
      <c r="D2177" s="51"/>
      <c r="F2177" s="51"/>
    </row>
    <row r="2178" spans="2:6">
      <c r="B2178" s="51"/>
      <c r="C2178" s="51"/>
      <c r="D2178" s="51"/>
      <c r="F2178" s="51"/>
    </row>
    <row r="2179" spans="2:6">
      <c r="B2179" s="51"/>
      <c r="C2179" s="51"/>
      <c r="D2179" s="51"/>
      <c r="F2179" s="51"/>
    </row>
    <row r="2180" spans="2:6">
      <c r="B2180" s="51"/>
      <c r="C2180" s="51"/>
      <c r="D2180" s="51"/>
      <c r="F2180" s="51"/>
    </row>
    <row r="2181" spans="2:6">
      <c r="B2181" s="51"/>
      <c r="C2181" s="51"/>
      <c r="D2181" s="51"/>
      <c r="F2181" s="51"/>
    </row>
    <row r="2182" spans="2:6">
      <c r="B2182" s="51"/>
      <c r="C2182" s="51"/>
      <c r="D2182" s="51"/>
      <c r="F2182" s="51"/>
    </row>
    <row r="2183" spans="2:6">
      <c r="B2183" s="51"/>
      <c r="C2183" s="51"/>
      <c r="D2183" s="51"/>
      <c r="F2183" s="51"/>
    </row>
    <row r="2184" spans="2:6">
      <c r="B2184" s="51"/>
      <c r="C2184" s="51"/>
      <c r="D2184" s="51"/>
      <c r="F2184" s="51"/>
    </row>
    <row r="2185" spans="2:6">
      <c r="B2185" s="51"/>
      <c r="C2185" s="51"/>
      <c r="D2185" s="51"/>
      <c r="F2185" s="51"/>
    </row>
    <row r="2186" spans="2:6">
      <c r="B2186" s="51"/>
      <c r="C2186" s="51"/>
      <c r="D2186" s="51"/>
      <c r="F2186" s="51"/>
    </row>
    <row r="2187" spans="2:6">
      <c r="B2187" s="51"/>
      <c r="C2187" s="51"/>
      <c r="D2187" s="51"/>
      <c r="F2187" s="51"/>
    </row>
    <row r="2188" spans="2:6">
      <c r="B2188" s="51"/>
      <c r="C2188" s="51"/>
      <c r="D2188" s="51"/>
      <c r="F2188" s="51"/>
    </row>
    <row r="2189" spans="2:6">
      <c r="B2189" s="51"/>
      <c r="C2189" s="51"/>
      <c r="D2189" s="51"/>
      <c r="F2189" s="51"/>
    </row>
    <row r="2190" spans="2:6">
      <c r="B2190" s="51"/>
      <c r="C2190" s="51"/>
      <c r="D2190" s="51"/>
      <c r="F2190" s="51"/>
    </row>
    <row r="2191" spans="2:6">
      <c r="B2191" s="51"/>
      <c r="C2191" s="51"/>
      <c r="D2191" s="51"/>
      <c r="F2191" s="51"/>
    </row>
    <row r="2192" spans="2:6">
      <c r="B2192" s="51"/>
      <c r="C2192" s="51"/>
      <c r="D2192" s="51"/>
      <c r="F2192" s="51"/>
    </row>
    <row r="2193" spans="2:6">
      <c r="B2193" s="51"/>
      <c r="C2193" s="51"/>
      <c r="D2193" s="51"/>
      <c r="F2193" s="51"/>
    </row>
    <row r="2194" spans="2:6">
      <c r="B2194" s="51"/>
      <c r="C2194" s="51"/>
      <c r="D2194" s="51"/>
      <c r="F2194" s="51"/>
    </row>
    <row r="2195" spans="2:6">
      <c r="B2195" s="51"/>
      <c r="C2195" s="51"/>
      <c r="D2195" s="51"/>
      <c r="F2195" s="51"/>
    </row>
    <row r="2196" spans="2:6">
      <c r="B2196" s="51"/>
      <c r="C2196" s="51"/>
      <c r="D2196" s="51"/>
      <c r="F2196" s="51"/>
    </row>
    <row r="2197" spans="2:6">
      <c r="B2197" s="51"/>
      <c r="C2197" s="51"/>
      <c r="D2197" s="51"/>
      <c r="F2197" s="51"/>
    </row>
    <row r="2198" spans="2:6">
      <c r="B2198" s="51"/>
      <c r="C2198" s="51"/>
      <c r="D2198" s="51"/>
      <c r="F2198" s="51"/>
    </row>
    <row r="2199" spans="2:6">
      <c r="B2199" s="51"/>
      <c r="C2199" s="51"/>
      <c r="D2199" s="51"/>
      <c r="F2199" s="51"/>
    </row>
    <row r="2200" spans="2:6">
      <c r="B2200" s="51"/>
      <c r="C2200" s="51"/>
      <c r="D2200" s="51"/>
      <c r="F2200" s="51"/>
    </row>
    <row r="2201" spans="2:6">
      <c r="B2201" s="51"/>
      <c r="C2201" s="51"/>
      <c r="D2201" s="51"/>
      <c r="F2201" s="51"/>
    </row>
    <row r="2202" spans="2:6">
      <c r="B2202" s="51"/>
      <c r="C2202" s="51"/>
      <c r="D2202" s="51"/>
      <c r="F2202" s="51"/>
    </row>
    <row r="2203" spans="2:6">
      <c r="B2203" s="51"/>
      <c r="C2203" s="51"/>
      <c r="D2203" s="51"/>
      <c r="F2203" s="51"/>
    </row>
    <row r="2204" spans="2:6">
      <c r="B2204" s="51"/>
      <c r="C2204" s="51"/>
      <c r="D2204" s="51"/>
      <c r="F2204" s="51"/>
    </row>
    <row r="2205" spans="2:6">
      <c r="B2205" s="51"/>
      <c r="C2205" s="51"/>
      <c r="D2205" s="51"/>
      <c r="F2205" s="51"/>
    </row>
    <row r="2206" spans="2:6">
      <c r="B2206" s="51"/>
      <c r="C2206" s="51"/>
      <c r="D2206" s="51"/>
      <c r="F2206" s="51"/>
    </row>
    <row r="2207" spans="2:6">
      <c r="B2207" s="51"/>
      <c r="C2207" s="51"/>
      <c r="D2207" s="51"/>
      <c r="F2207" s="51"/>
    </row>
    <row r="2208" spans="2:6">
      <c r="B2208" s="51"/>
      <c r="C2208" s="51"/>
      <c r="D2208" s="51"/>
      <c r="F2208" s="51"/>
    </row>
    <row r="2209" spans="2:6">
      <c r="B2209" s="51"/>
      <c r="C2209" s="51"/>
      <c r="D2209" s="51"/>
      <c r="F2209" s="51"/>
    </row>
    <row r="2210" spans="2:6">
      <c r="B2210" s="51"/>
      <c r="C2210" s="51"/>
      <c r="D2210" s="51"/>
      <c r="F2210" s="51"/>
    </row>
    <row r="2211" spans="2:6">
      <c r="B2211" s="51"/>
      <c r="C2211" s="51"/>
      <c r="D2211" s="51"/>
      <c r="F2211" s="51"/>
    </row>
    <row r="2212" spans="2:6">
      <c r="B2212" s="51"/>
      <c r="C2212" s="51"/>
      <c r="D2212" s="51"/>
      <c r="F2212" s="51"/>
    </row>
    <row r="2213" spans="2:6">
      <c r="B2213" s="51"/>
      <c r="C2213" s="51"/>
      <c r="D2213" s="51"/>
      <c r="F2213" s="51"/>
    </row>
    <row r="2214" spans="2:6">
      <c r="B2214" s="51"/>
      <c r="C2214" s="51"/>
      <c r="D2214" s="51"/>
      <c r="F2214" s="51"/>
    </row>
    <row r="2215" spans="2:6">
      <c r="B2215" s="51"/>
      <c r="C2215" s="51"/>
      <c r="D2215" s="51"/>
      <c r="F2215" s="51"/>
    </row>
    <row r="2216" spans="2:6">
      <c r="B2216" s="51"/>
      <c r="C2216" s="51"/>
      <c r="D2216" s="51"/>
      <c r="F2216" s="51"/>
    </row>
    <row r="2217" spans="2:6">
      <c r="B2217" s="51"/>
      <c r="C2217" s="51"/>
      <c r="D2217" s="51"/>
      <c r="F2217" s="51"/>
    </row>
    <row r="2218" spans="2:6">
      <c r="B2218" s="51"/>
      <c r="C2218" s="51"/>
      <c r="D2218" s="51"/>
      <c r="F2218" s="51"/>
    </row>
    <row r="2219" spans="2:6">
      <c r="B2219" s="51"/>
      <c r="C2219" s="51"/>
      <c r="D2219" s="51"/>
      <c r="F2219" s="51"/>
    </row>
    <row r="2220" spans="2:6">
      <c r="B2220" s="51"/>
      <c r="C2220" s="51"/>
      <c r="D2220" s="51"/>
      <c r="F2220" s="51"/>
    </row>
    <row r="2221" spans="2:6">
      <c r="B2221" s="51"/>
      <c r="C2221" s="51"/>
      <c r="D2221" s="51"/>
      <c r="F2221" s="51"/>
    </row>
    <row r="2222" spans="2:6">
      <c r="B2222" s="51"/>
      <c r="C2222" s="51"/>
      <c r="D2222" s="51"/>
      <c r="F2222" s="51"/>
    </row>
    <row r="2223" spans="2:6">
      <c r="B2223" s="51"/>
      <c r="C2223" s="51"/>
      <c r="D2223" s="51"/>
      <c r="F2223" s="51"/>
    </row>
    <row r="2224" spans="2:6">
      <c r="B2224" s="51"/>
      <c r="C2224" s="51"/>
      <c r="D2224" s="51"/>
      <c r="F2224" s="51"/>
    </row>
    <row r="2225" spans="2:6">
      <c r="B2225" s="51"/>
      <c r="C2225" s="51"/>
      <c r="D2225" s="51"/>
      <c r="F2225" s="51"/>
    </row>
    <row r="2226" spans="2:6">
      <c r="B2226" s="51"/>
      <c r="C2226" s="51"/>
      <c r="D2226" s="51"/>
      <c r="F2226" s="51"/>
    </row>
    <row r="2227" spans="2:6">
      <c r="B2227" s="51"/>
      <c r="C2227" s="51"/>
      <c r="D2227" s="51"/>
      <c r="F2227" s="51"/>
    </row>
    <row r="2228" spans="2:6">
      <c r="B2228" s="51"/>
      <c r="C2228" s="51"/>
      <c r="D2228" s="51"/>
      <c r="F2228" s="51"/>
    </row>
    <row r="2229" spans="2:6">
      <c r="B2229" s="51"/>
      <c r="C2229" s="51"/>
      <c r="D2229" s="51"/>
      <c r="F2229" s="51"/>
    </row>
    <row r="2230" spans="2:6">
      <c r="B2230" s="51"/>
      <c r="C2230" s="51"/>
      <c r="D2230" s="51"/>
      <c r="F2230" s="51"/>
    </row>
    <row r="2231" spans="2:6">
      <c r="B2231" s="51"/>
      <c r="C2231" s="51"/>
      <c r="D2231" s="51"/>
      <c r="F2231" s="51"/>
    </row>
    <row r="2232" spans="2:6">
      <c r="B2232" s="51"/>
      <c r="C2232" s="51"/>
      <c r="D2232" s="51"/>
      <c r="F2232" s="51"/>
    </row>
    <row r="2233" spans="2:6">
      <c r="B2233" s="51"/>
      <c r="C2233" s="51"/>
      <c r="D2233" s="51"/>
      <c r="F2233" s="51"/>
    </row>
    <row r="2234" spans="2:6">
      <c r="B2234" s="51"/>
      <c r="C2234" s="51"/>
      <c r="D2234" s="51"/>
      <c r="F2234" s="51"/>
    </row>
    <row r="2235" spans="2:6">
      <c r="B2235" s="51"/>
      <c r="C2235" s="51"/>
      <c r="D2235" s="51"/>
      <c r="F2235" s="51"/>
    </row>
    <row r="2236" spans="2:6">
      <c r="B2236" s="51"/>
      <c r="C2236" s="51"/>
      <c r="D2236" s="51"/>
      <c r="F2236" s="51"/>
    </row>
    <row r="2237" spans="2:6">
      <c r="B2237" s="51"/>
      <c r="C2237" s="51"/>
      <c r="D2237" s="51"/>
      <c r="F2237" s="51"/>
    </row>
    <row r="2238" spans="2:6">
      <c r="B2238" s="51"/>
      <c r="C2238" s="51"/>
      <c r="D2238" s="51"/>
      <c r="F2238" s="51"/>
    </row>
    <row r="2239" spans="2:6">
      <c r="B2239" s="51"/>
      <c r="C2239" s="51"/>
      <c r="D2239" s="51"/>
      <c r="F2239" s="51"/>
    </row>
    <row r="2240" spans="2:6">
      <c r="B2240" s="51"/>
      <c r="C2240" s="51"/>
      <c r="D2240" s="51"/>
      <c r="F2240" s="51"/>
    </row>
    <row r="2241" spans="2:6">
      <c r="B2241" s="51"/>
      <c r="C2241" s="51"/>
      <c r="D2241" s="51"/>
      <c r="F2241" s="51"/>
    </row>
    <row r="2242" spans="2:6">
      <c r="B2242" s="51"/>
      <c r="C2242" s="51"/>
      <c r="D2242" s="51"/>
      <c r="F2242" s="51"/>
    </row>
    <row r="2243" spans="2:6">
      <c r="B2243" s="51"/>
      <c r="C2243" s="51"/>
      <c r="D2243" s="51"/>
      <c r="F2243" s="51"/>
    </row>
    <row r="2244" spans="2:6">
      <c r="B2244" s="51"/>
      <c r="C2244" s="51"/>
      <c r="D2244" s="51"/>
      <c r="F2244" s="51"/>
    </row>
    <row r="2245" spans="2:6">
      <c r="B2245" s="51"/>
      <c r="C2245" s="51"/>
      <c r="D2245" s="51"/>
      <c r="F2245" s="51"/>
    </row>
    <row r="2246" spans="2:6">
      <c r="B2246" s="51"/>
      <c r="C2246" s="51"/>
      <c r="D2246" s="51"/>
      <c r="F2246" s="51"/>
    </row>
    <row r="2247" spans="2:6">
      <c r="B2247" s="51"/>
      <c r="C2247" s="51"/>
      <c r="D2247" s="51"/>
      <c r="F2247" s="51"/>
    </row>
    <row r="2248" spans="2:6">
      <c r="B2248" s="51"/>
      <c r="C2248" s="51"/>
      <c r="D2248" s="51"/>
      <c r="F2248" s="51"/>
    </row>
    <row r="2249" spans="2:6">
      <c r="B2249" s="51"/>
      <c r="C2249" s="51"/>
      <c r="D2249" s="51"/>
      <c r="F2249" s="51"/>
    </row>
    <row r="2250" spans="2:6">
      <c r="B2250" s="51"/>
      <c r="C2250" s="51"/>
      <c r="D2250" s="51"/>
      <c r="F2250" s="51"/>
    </row>
    <row r="2251" spans="2:6">
      <c r="B2251" s="51"/>
      <c r="C2251" s="51"/>
      <c r="D2251" s="51"/>
      <c r="F2251" s="51"/>
    </row>
    <row r="2252" spans="2:6">
      <c r="B2252" s="51"/>
      <c r="C2252" s="51"/>
      <c r="D2252" s="51"/>
      <c r="F2252" s="51"/>
    </row>
    <row r="2253" spans="2:6">
      <c r="B2253" s="51"/>
      <c r="C2253" s="51"/>
      <c r="D2253" s="51"/>
      <c r="F2253" s="51"/>
    </row>
    <row r="2254" spans="2:6">
      <c r="B2254" s="51"/>
      <c r="C2254" s="51"/>
      <c r="D2254" s="51"/>
      <c r="F2254" s="51"/>
    </row>
    <row r="2255" spans="2:6">
      <c r="B2255" s="51"/>
      <c r="C2255" s="51"/>
      <c r="D2255" s="51"/>
      <c r="F2255" s="51"/>
    </row>
    <row r="2256" spans="2:6">
      <c r="B2256" s="51"/>
      <c r="C2256" s="51"/>
      <c r="D2256" s="51"/>
      <c r="F2256" s="51"/>
    </row>
    <row r="2257" spans="2:6">
      <c r="B2257" s="51"/>
      <c r="C2257" s="51"/>
      <c r="D2257" s="51"/>
      <c r="F2257" s="51"/>
    </row>
    <row r="2258" spans="2:6">
      <c r="B2258" s="51"/>
      <c r="C2258" s="51"/>
      <c r="D2258" s="51"/>
      <c r="F2258" s="51"/>
    </row>
    <row r="2259" spans="2:6">
      <c r="B2259" s="51"/>
      <c r="C2259" s="51"/>
      <c r="D2259" s="51"/>
      <c r="F2259" s="51"/>
    </row>
    <row r="2260" spans="2:6">
      <c r="B2260" s="51"/>
      <c r="C2260" s="51"/>
      <c r="D2260" s="51"/>
      <c r="F2260" s="51"/>
    </row>
    <row r="2261" spans="2:6">
      <c r="B2261" s="51"/>
      <c r="C2261" s="51"/>
      <c r="D2261" s="51"/>
      <c r="F2261" s="51"/>
    </row>
    <row r="2262" spans="2:6">
      <c r="B2262" s="51"/>
      <c r="C2262" s="51"/>
      <c r="D2262" s="51"/>
      <c r="F2262" s="51"/>
    </row>
    <row r="2263" spans="2:6">
      <c r="B2263" s="51"/>
      <c r="C2263" s="51"/>
      <c r="D2263" s="51"/>
      <c r="F2263" s="51"/>
    </row>
    <row r="2264" spans="2:6">
      <c r="B2264" s="51"/>
      <c r="C2264" s="51"/>
      <c r="D2264" s="51"/>
      <c r="F2264" s="51"/>
    </row>
    <row r="2265" spans="2:6">
      <c r="B2265" s="51"/>
      <c r="C2265" s="51"/>
      <c r="D2265" s="51"/>
      <c r="F2265" s="51"/>
    </row>
    <row r="2266" spans="2:6">
      <c r="B2266" s="51"/>
      <c r="C2266" s="51"/>
      <c r="D2266" s="51"/>
      <c r="F2266" s="51"/>
    </row>
    <row r="2267" spans="2:6">
      <c r="B2267" s="51"/>
      <c r="C2267" s="51"/>
      <c r="D2267" s="51"/>
      <c r="F2267" s="51"/>
    </row>
    <row r="2268" spans="2:6">
      <c r="B2268" s="51"/>
      <c r="C2268" s="51"/>
      <c r="D2268" s="51"/>
      <c r="F2268" s="51"/>
    </row>
    <row r="2269" spans="2:6">
      <c r="B2269" s="51"/>
      <c r="C2269" s="51"/>
      <c r="D2269" s="51"/>
      <c r="F2269" s="51"/>
    </row>
    <row r="2270" spans="2:6">
      <c r="B2270" s="51"/>
      <c r="C2270" s="51"/>
      <c r="D2270" s="51"/>
      <c r="F2270" s="51"/>
    </row>
    <row r="2271" spans="2:6">
      <c r="B2271" s="51"/>
      <c r="C2271" s="51"/>
      <c r="D2271" s="51"/>
      <c r="F2271" s="51"/>
    </row>
    <row r="2272" spans="2:6">
      <c r="B2272" s="51"/>
      <c r="C2272" s="51"/>
      <c r="D2272" s="51"/>
      <c r="F2272" s="51"/>
    </row>
    <row r="2273" spans="2:6">
      <c r="B2273" s="51"/>
      <c r="C2273" s="51"/>
      <c r="D2273" s="51"/>
      <c r="F2273" s="51"/>
    </row>
    <row r="2274" spans="2:6">
      <c r="B2274" s="51"/>
      <c r="C2274" s="51"/>
      <c r="D2274" s="51"/>
      <c r="F2274" s="51"/>
    </row>
    <row r="2275" spans="2:6">
      <c r="B2275" s="51"/>
      <c r="C2275" s="51"/>
      <c r="D2275" s="51"/>
      <c r="F2275" s="51"/>
    </row>
    <row r="2276" spans="2:6">
      <c r="B2276" s="51"/>
      <c r="C2276" s="51"/>
      <c r="D2276" s="51"/>
      <c r="F2276" s="51"/>
    </row>
    <row r="2277" spans="2:6">
      <c r="B2277" s="51"/>
      <c r="C2277" s="51"/>
      <c r="D2277" s="51"/>
      <c r="F2277" s="51"/>
    </row>
    <row r="2278" spans="2:6">
      <c r="B2278" s="51"/>
      <c r="C2278" s="51"/>
      <c r="D2278" s="51"/>
      <c r="F2278" s="51"/>
    </row>
    <row r="2279" spans="2:6">
      <c r="B2279" s="51"/>
      <c r="C2279" s="51"/>
      <c r="D2279" s="51"/>
      <c r="F2279" s="51"/>
    </row>
    <row r="2280" spans="2:6">
      <c r="B2280" s="51"/>
      <c r="C2280" s="51"/>
      <c r="D2280" s="51"/>
      <c r="F2280" s="51"/>
    </row>
    <row r="2281" spans="2:6">
      <c r="B2281" s="51"/>
      <c r="C2281" s="51"/>
      <c r="D2281" s="51"/>
      <c r="F2281" s="51"/>
    </row>
    <row r="2282" spans="2:6">
      <c r="B2282" s="51"/>
      <c r="C2282" s="51"/>
      <c r="D2282" s="51"/>
      <c r="F2282" s="51"/>
    </row>
    <row r="2283" spans="2:6">
      <c r="B2283" s="51"/>
      <c r="C2283" s="51"/>
      <c r="D2283" s="51"/>
      <c r="F2283" s="51"/>
    </row>
    <row r="2284" spans="2:6">
      <c r="B2284" s="51"/>
      <c r="C2284" s="51"/>
      <c r="D2284" s="51"/>
      <c r="F2284" s="51"/>
    </row>
    <row r="2285" spans="2:6">
      <c r="B2285" s="51"/>
      <c r="C2285" s="51"/>
      <c r="D2285" s="51"/>
      <c r="F2285" s="51"/>
    </row>
    <row r="2286" spans="2:6">
      <c r="B2286" s="51"/>
      <c r="C2286" s="51"/>
      <c r="D2286" s="51"/>
      <c r="F2286" s="51"/>
    </row>
    <row r="2287" spans="2:6">
      <c r="B2287" s="51"/>
      <c r="C2287" s="51"/>
      <c r="D2287" s="51"/>
      <c r="F2287" s="51"/>
    </row>
    <row r="2288" spans="2:6">
      <c r="B2288" s="51"/>
      <c r="C2288" s="51"/>
      <c r="D2288" s="51"/>
      <c r="F2288" s="51"/>
    </row>
    <row r="2289" spans="2:6">
      <c r="B2289" s="51"/>
      <c r="C2289" s="51"/>
      <c r="D2289" s="51"/>
      <c r="F2289" s="51"/>
    </row>
    <row r="2290" spans="2:6">
      <c r="B2290" s="51"/>
      <c r="C2290" s="51"/>
      <c r="D2290" s="51"/>
      <c r="F2290" s="51"/>
    </row>
    <row r="2291" spans="2:6">
      <c r="B2291" s="51"/>
      <c r="C2291" s="51"/>
      <c r="D2291" s="51"/>
      <c r="F2291" s="51"/>
    </row>
    <row r="2292" spans="2:6">
      <c r="B2292" s="51"/>
      <c r="C2292" s="51"/>
      <c r="D2292" s="51"/>
      <c r="F2292" s="51"/>
    </row>
    <row r="2293" spans="2:6">
      <c r="B2293" s="51"/>
      <c r="C2293" s="51"/>
      <c r="D2293" s="51"/>
      <c r="F2293" s="51"/>
    </row>
    <row r="2294" spans="2:6">
      <c r="B2294" s="51"/>
      <c r="C2294" s="51"/>
      <c r="D2294" s="51"/>
      <c r="F2294" s="51"/>
    </row>
    <row r="2295" spans="2:6">
      <c r="B2295" s="51"/>
      <c r="C2295" s="51"/>
      <c r="D2295" s="51"/>
      <c r="F2295" s="51"/>
    </row>
    <row r="2296" spans="2:6">
      <c r="B2296" s="51"/>
      <c r="C2296" s="51"/>
      <c r="D2296" s="51"/>
      <c r="F2296" s="51"/>
    </row>
    <row r="2297" spans="2:6">
      <c r="B2297" s="51"/>
      <c r="C2297" s="51"/>
      <c r="D2297" s="51"/>
      <c r="F2297" s="51"/>
    </row>
    <row r="2298" spans="2:6">
      <c r="B2298" s="51"/>
      <c r="C2298" s="51"/>
      <c r="D2298" s="51"/>
      <c r="F2298" s="51"/>
    </row>
    <row r="2299" spans="2:6">
      <c r="B2299" s="51"/>
      <c r="C2299" s="51"/>
      <c r="D2299" s="51"/>
      <c r="F2299" s="51"/>
    </row>
    <row r="2300" spans="2:6">
      <c r="B2300" s="51"/>
      <c r="C2300" s="51"/>
      <c r="D2300" s="51"/>
      <c r="F2300" s="51"/>
    </row>
    <row r="2301" spans="2:6">
      <c r="B2301" s="51"/>
      <c r="C2301" s="51"/>
      <c r="D2301" s="51"/>
      <c r="F2301" s="51"/>
    </row>
    <row r="2302" spans="2:6">
      <c r="B2302" s="51"/>
      <c r="C2302" s="51"/>
      <c r="D2302" s="51"/>
      <c r="F2302" s="51"/>
    </row>
    <row r="2303" spans="2:6">
      <c r="B2303" s="51"/>
      <c r="C2303" s="51"/>
      <c r="D2303" s="51"/>
      <c r="F2303" s="51"/>
    </row>
    <row r="2304" spans="2:6">
      <c r="B2304" s="51"/>
      <c r="C2304" s="51"/>
      <c r="D2304" s="51"/>
      <c r="F2304" s="51"/>
    </row>
    <row r="2305" spans="2:6">
      <c r="B2305" s="51"/>
      <c r="C2305" s="51"/>
      <c r="D2305" s="51"/>
      <c r="F2305" s="51"/>
    </row>
    <row r="2306" spans="2:6">
      <c r="B2306" s="51"/>
      <c r="C2306" s="51"/>
      <c r="D2306" s="51"/>
      <c r="F2306" s="51"/>
    </row>
    <row r="2307" spans="2:6">
      <c r="B2307" s="51"/>
      <c r="C2307" s="51"/>
      <c r="D2307" s="51"/>
      <c r="F2307" s="51"/>
    </row>
    <row r="2308" spans="2:6">
      <c r="B2308" s="51"/>
      <c r="C2308" s="51"/>
      <c r="D2308" s="51"/>
      <c r="F2308" s="51"/>
    </row>
    <row r="2309" spans="2:6">
      <c r="B2309" s="51"/>
      <c r="C2309" s="51"/>
      <c r="D2309" s="51"/>
      <c r="F2309" s="51"/>
    </row>
    <row r="2310" spans="2:6">
      <c r="B2310" s="51"/>
      <c r="C2310" s="51"/>
      <c r="D2310" s="51"/>
      <c r="F2310" s="51"/>
    </row>
    <row r="2311" spans="2:6">
      <c r="B2311" s="51"/>
      <c r="C2311" s="51"/>
      <c r="D2311" s="51"/>
      <c r="F2311" s="51"/>
    </row>
    <row r="2312" spans="2:6">
      <c r="B2312" s="51"/>
      <c r="C2312" s="51"/>
      <c r="D2312" s="51"/>
      <c r="F2312" s="51"/>
    </row>
    <row r="2313" spans="2:6">
      <c r="B2313" s="51"/>
      <c r="C2313" s="51"/>
      <c r="D2313" s="51"/>
      <c r="F2313" s="51"/>
    </row>
    <row r="2314" spans="2:6">
      <c r="B2314" s="51"/>
      <c r="C2314" s="51"/>
      <c r="D2314" s="51"/>
      <c r="F2314" s="51"/>
    </row>
    <row r="2315" spans="2:6">
      <c r="B2315" s="51"/>
      <c r="C2315" s="51"/>
      <c r="D2315" s="51"/>
      <c r="F2315" s="51"/>
    </row>
    <row r="2316" spans="2:6">
      <c r="B2316" s="51"/>
      <c r="C2316" s="51"/>
      <c r="D2316" s="51"/>
      <c r="F2316" s="51"/>
    </row>
    <row r="2317" spans="2:6">
      <c r="B2317" s="51"/>
      <c r="C2317" s="51"/>
      <c r="D2317" s="51"/>
      <c r="F2317" s="51"/>
    </row>
    <row r="2318" spans="2:6">
      <c r="B2318" s="51"/>
      <c r="C2318" s="51"/>
      <c r="D2318" s="51"/>
      <c r="F2318" s="51"/>
    </row>
    <row r="2319" spans="2:6">
      <c r="B2319" s="51"/>
      <c r="C2319" s="51"/>
      <c r="D2319" s="51"/>
      <c r="F2319" s="51"/>
    </row>
    <row r="2320" spans="2:6">
      <c r="B2320" s="51"/>
      <c r="C2320" s="51"/>
      <c r="D2320" s="51"/>
      <c r="F2320" s="51"/>
    </row>
    <row r="2321" spans="2:6">
      <c r="B2321" s="51"/>
      <c r="C2321" s="51"/>
      <c r="D2321" s="51"/>
      <c r="F2321" s="51"/>
    </row>
    <row r="2322" spans="2:6">
      <c r="B2322" s="51"/>
      <c r="C2322" s="51"/>
      <c r="D2322" s="51"/>
      <c r="F2322" s="51"/>
    </row>
    <row r="2323" spans="2:6">
      <c r="B2323" s="51"/>
      <c r="C2323" s="51"/>
      <c r="D2323" s="51"/>
      <c r="F2323" s="51"/>
    </row>
    <row r="2324" spans="2:6">
      <c r="B2324" s="51"/>
      <c r="C2324" s="51"/>
      <c r="D2324" s="51"/>
      <c r="F2324" s="51"/>
    </row>
    <row r="2325" spans="2:6">
      <c r="B2325" s="51"/>
      <c r="C2325" s="51"/>
      <c r="D2325" s="51"/>
      <c r="F2325" s="51"/>
    </row>
    <row r="2326" spans="2:6">
      <c r="B2326" s="51"/>
      <c r="C2326" s="51"/>
      <c r="D2326" s="51"/>
      <c r="F2326" s="51"/>
    </row>
    <row r="2327" spans="2:6">
      <c r="B2327" s="51"/>
      <c r="C2327" s="51"/>
      <c r="D2327" s="51"/>
      <c r="F2327" s="51"/>
    </row>
    <row r="2328" spans="2:6">
      <c r="B2328" s="51"/>
      <c r="C2328" s="51"/>
      <c r="D2328" s="51"/>
      <c r="F2328" s="51"/>
    </row>
    <row r="2329" spans="2:6">
      <c r="B2329" s="51"/>
      <c r="C2329" s="51"/>
      <c r="D2329" s="51"/>
      <c r="F2329" s="51"/>
    </row>
    <row r="2330" spans="2:6">
      <c r="B2330" s="51"/>
      <c r="C2330" s="51"/>
      <c r="D2330" s="51"/>
      <c r="F2330" s="51"/>
    </row>
    <row r="2331" spans="2:6">
      <c r="B2331" s="51"/>
      <c r="C2331" s="51"/>
      <c r="D2331" s="51"/>
      <c r="F2331" s="51"/>
    </row>
    <row r="2332" spans="2:6">
      <c r="B2332" s="51"/>
      <c r="C2332" s="51"/>
      <c r="D2332" s="51"/>
      <c r="F2332" s="51"/>
    </row>
    <row r="2333" spans="2:6">
      <c r="B2333" s="51"/>
      <c r="C2333" s="51"/>
      <c r="D2333" s="51"/>
      <c r="F2333" s="51"/>
    </row>
    <row r="2334" spans="2:6">
      <c r="B2334" s="51"/>
      <c r="C2334" s="51"/>
      <c r="D2334" s="51"/>
      <c r="F2334" s="51"/>
    </row>
    <row r="2335" spans="2:6">
      <c r="B2335" s="51"/>
      <c r="C2335" s="51"/>
      <c r="D2335" s="51"/>
      <c r="F2335" s="51"/>
    </row>
    <row r="2336" spans="2:6">
      <c r="B2336" s="51"/>
      <c r="C2336" s="51"/>
      <c r="D2336" s="51"/>
      <c r="F2336" s="51"/>
    </row>
    <row r="2337" spans="2:6">
      <c r="B2337" s="51"/>
      <c r="C2337" s="51"/>
      <c r="D2337" s="51"/>
      <c r="F2337" s="51"/>
    </row>
    <row r="2338" spans="2:6">
      <c r="B2338" s="51"/>
      <c r="C2338" s="51"/>
      <c r="D2338" s="51"/>
      <c r="F2338" s="51"/>
    </row>
    <row r="2339" spans="2:6">
      <c r="B2339" s="51"/>
      <c r="C2339" s="51"/>
      <c r="D2339" s="51"/>
      <c r="F2339" s="51"/>
    </row>
    <row r="2340" spans="2:6">
      <c r="B2340" s="51"/>
      <c r="C2340" s="51"/>
      <c r="D2340" s="51"/>
      <c r="F2340" s="51"/>
    </row>
    <row r="2341" spans="2:6">
      <c r="B2341" s="51"/>
      <c r="C2341" s="51"/>
      <c r="D2341" s="51"/>
      <c r="F2341" s="51"/>
    </row>
    <row r="2342" spans="2:6">
      <c r="B2342" s="51"/>
      <c r="C2342" s="51"/>
      <c r="D2342" s="51"/>
      <c r="F2342" s="51"/>
    </row>
    <row r="2343" spans="2:6">
      <c r="B2343" s="51"/>
      <c r="C2343" s="51"/>
      <c r="D2343" s="51"/>
      <c r="F2343" s="51"/>
    </row>
    <row r="2344" spans="2:6">
      <c r="B2344" s="51"/>
      <c r="C2344" s="51"/>
      <c r="D2344" s="51"/>
      <c r="F2344" s="51"/>
    </row>
    <row r="2345" spans="2:6">
      <c r="B2345" s="51"/>
      <c r="C2345" s="51"/>
      <c r="D2345" s="51"/>
      <c r="F2345" s="51"/>
    </row>
    <row r="2346" spans="2:6">
      <c r="B2346" s="51"/>
      <c r="C2346" s="51"/>
      <c r="D2346" s="51"/>
      <c r="F2346" s="51"/>
    </row>
    <row r="2347" spans="2:6">
      <c r="B2347" s="51"/>
      <c r="C2347" s="51"/>
      <c r="D2347" s="51"/>
      <c r="F2347" s="51"/>
    </row>
    <row r="2348" spans="2:6">
      <c r="B2348" s="51"/>
      <c r="C2348" s="51"/>
      <c r="D2348" s="51"/>
      <c r="F2348" s="51"/>
    </row>
    <row r="2349" spans="2:6">
      <c r="B2349" s="51"/>
      <c r="C2349" s="51"/>
      <c r="D2349" s="51"/>
      <c r="F2349" s="51"/>
    </row>
    <row r="2350" spans="2:6">
      <c r="B2350" s="51"/>
      <c r="C2350" s="51"/>
      <c r="D2350" s="51"/>
      <c r="F2350" s="51"/>
    </row>
    <row r="2351" spans="2:6">
      <c r="B2351" s="51"/>
      <c r="C2351" s="51"/>
      <c r="D2351" s="51"/>
      <c r="F2351" s="51"/>
    </row>
    <row r="2352" spans="2:6">
      <c r="B2352" s="51"/>
      <c r="C2352" s="51"/>
      <c r="D2352" s="51"/>
      <c r="F2352" s="51"/>
    </row>
    <row r="2353" spans="2:6">
      <c r="B2353" s="51"/>
      <c r="C2353" s="51"/>
      <c r="D2353" s="51"/>
      <c r="F2353" s="51"/>
    </row>
    <row r="2354" spans="2:6">
      <c r="B2354" s="51"/>
      <c r="C2354" s="51"/>
      <c r="D2354" s="51"/>
      <c r="F2354" s="51"/>
    </row>
    <row r="2355" spans="2:6">
      <c r="B2355" s="51"/>
      <c r="C2355" s="51"/>
      <c r="D2355" s="51"/>
      <c r="F2355" s="51"/>
    </row>
    <row r="2356" spans="2:6">
      <c r="B2356" s="51"/>
      <c r="C2356" s="51"/>
      <c r="D2356" s="51"/>
      <c r="F2356" s="51"/>
    </row>
    <row r="2357" spans="2:6">
      <c r="B2357" s="51"/>
      <c r="C2357" s="51"/>
      <c r="D2357" s="51"/>
      <c r="F2357" s="51"/>
    </row>
    <row r="2358" spans="2:6">
      <c r="B2358" s="51"/>
      <c r="C2358" s="51"/>
      <c r="D2358" s="51"/>
      <c r="F2358" s="51"/>
    </row>
    <row r="2359" spans="2:6">
      <c r="B2359" s="51"/>
      <c r="C2359" s="51"/>
      <c r="D2359" s="51"/>
      <c r="F2359" s="51"/>
    </row>
    <row r="2360" spans="2:6">
      <c r="B2360" s="51"/>
      <c r="C2360" s="51"/>
      <c r="D2360" s="51"/>
      <c r="F2360" s="51"/>
    </row>
    <row r="2361" spans="2:6">
      <c r="B2361" s="51"/>
      <c r="C2361" s="51"/>
      <c r="D2361" s="51"/>
      <c r="F2361" s="51"/>
    </row>
    <row r="2362" spans="2:6">
      <c r="B2362" s="51"/>
      <c r="C2362" s="51"/>
      <c r="D2362" s="51"/>
      <c r="F2362" s="51"/>
    </row>
    <row r="2363" spans="2:6">
      <c r="B2363" s="51"/>
      <c r="C2363" s="51"/>
      <c r="D2363" s="51"/>
      <c r="F2363" s="51"/>
    </row>
    <row r="2364" spans="2:6">
      <c r="B2364" s="51"/>
      <c r="C2364" s="51"/>
      <c r="D2364" s="51"/>
      <c r="F2364" s="51"/>
    </row>
    <row r="2365" spans="2:6">
      <c r="B2365" s="51"/>
      <c r="C2365" s="51"/>
      <c r="D2365" s="51"/>
      <c r="F2365" s="51"/>
    </row>
    <row r="2366" spans="2:6">
      <c r="B2366" s="51"/>
      <c r="C2366" s="51"/>
      <c r="D2366" s="51"/>
      <c r="F2366" s="51"/>
    </row>
    <row r="2367" spans="2:6">
      <c r="B2367" s="51"/>
      <c r="C2367" s="51"/>
      <c r="D2367" s="51"/>
      <c r="F2367" s="51"/>
    </row>
    <row r="2368" spans="2:6">
      <c r="B2368" s="51"/>
      <c r="C2368" s="51"/>
      <c r="D2368" s="51"/>
      <c r="F2368" s="51"/>
    </row>
    <row r="2369" spans="2:6">
      <c r="B2369" s="51"/>
      <c r="C2369" s="51"/>
      <c r="D2369" s="51"/>
      <c r="F2369" s="51"/>
    </row>
    <row r="2370" spans="2:6">
      <c r="B2370" s="51"/>
      <c r="C2370" s="51"/>
      <c r="D2370" s="51"/>
      <c r="F2370" s="51"/>
    </row>
    <row r="2371" spans="2:6">
      <c r="B2371" s="51"/>
      <c r="C2371" s="51"/>
      <c r="D2371" s="51"/>
      <c r="F2371" s="51"/>
    </row>
    <row r="2372" spans="2:6">
      <c r="B2372" s="51"/>
      <c r="C2372" s="51"/>
      <c r="D2372" s="51"/>
      <c r="F2372" s="51"/>
    </row>
    <row r="2373" spans="2:6">
      <c r="B2373" s="51"/>
      <c r="C2373" s="51"/>
      <c r="D2373" s="51"/>
      <c r="F2373" s="51"/>
    </row>
    <row r="2374" spans="2:6">
      <c r="B2374" s="51"/>
      <c r="C2374" s="51"/>
      <c r="D2374" s="51"/>
      <c r="F2374" s="51"/>
    </row>
    <row r="2375" spans="2:6">
      <c r="B2375" s="51"/>
      <c r="C2375" s="51"/>
      <c r="D2375" s="51"/>
      <c r="F2375" s="51"/>
    </row>
    <row r="2376" spans="2:6">
      <c r="B2376" s="51"/>
      <c r="C2376" s="51"/>
      <c r="D2376" s="51"/>
      <c r="F2376" s="51"/>
    </row>
    <row r="2377" spans="2:6">
      <c r="B2377" s="51"/>
      <c r="C2377" s="51"/>
      <c r="D2377" s="51"/>
      <c r="F2377" s="51"/>
    </row>
    <row r="2378" spans="2:6">
      <c r="B2378" s="51"/>
      <c r="C2378" s="51"/>
      <c r="D2378" s="51"/>
      <c r="F2378" s="51"/>
    </row>
    <row r="2379" spans="2:6">
      <c r="B2379" s="51"/>
      <c r="C2379" s="51"/>
      <c r="D2379" s="51"/>
      <c r="F2379" s="51"/>
    </row>
    <row r="2380" spans="2:6">
      <c r="B2380" s="51"/>
      <c r="C2380" s="51"/>
      <c r="D2380" s="51"/>
      <c r="F2380" s="51"/>
    </row>
    <row r="2381" spans="2:6">
      <c r="B2381" s="51"/>
      <c r="C2381" s="51"/>
      <c r="D2381" s="51"/>
      <c r="F2381" s="51"/>
    </row>
    <row r="2382" spans="2:6">
      <c r="B2382" s="51"/>
      <c r="C2382" s="51"/>
      <c r="D2382" s="51"/>
      <c r="F2382" s="51"/>
    </row>
    <row r="2383" spans="2:6">
      <c r="B2383" s="51"/>
      <c r="C2383" s="51"/>
      <c r="D2383" s="51"/>
      <c r="F2383" s="51"/>
    </row>
    <row r="2384" spans="2:6">
      <c r="B2384" s="51"/>
      <c r="C2384" s="51"/>
      <c r="D2384" s="51"/>
      <c r="F2384" s="51"/>
    </row>
    <row r="2385" spans="2:6">
      <c r="B2385" s="51"/>
      <c r="C2385" s="51"/>
      <c r="D2385" s="51"/>
      <c r="F2385" s="51"/>
    </row>
    <row r="2386" spans="2:6">
      <c r="B2386" s="51"/>
      <c r="C2386" s="51"/>
      <c r="D2386" s="51"/>
      <c r="F2386" s="51"/>
    </row>
    <row r="2387" spans="2:6">
      <c r="B2387" s="51"/>
      <c r="C2387" s="51"/>
      <c r="D2387" s="51"/>
      <c r="F2387" s="51"/>
    </row>
    <row r="2388" spans="2:6">
      <c r="B2388" s="51"/>
      <c r="C2388" s="51"/>
      <c r="D2388" s="51"/>
      <c r="F2388" s="51"/>
    </row>
    <row r="2389" spans="2:6">
      <c r="B2389" s="51"/>
      <c r="C2389" s="51"/>
      <c r="D2389" s="51"/>
      <c r="F2389" s="51"/>
    </row>
    <row r="2390" spans="2:6">
      <c r="B2390" s="51"/>
      <c r="C2390" s="51"/>
      <c r="D2390" s="51"/>
      <c r="F2390" s="51"/>
    </row>
    <row r="2391" spans="2:6">
      <c r="B2391" s="51"/>
      <c r="C2391" s="51"/>
      <c r="D2391" s="51"/>
      <c r="F2391" s="51"/>
    </row>
    <row r="2392" spans="2:6">
      <c r="B2392" s="51"/>
      <c r="C2392" s="51"/>
      <c r="D2392" s="51"/>
      <c r="F2392" s="51"/>
    </row>
    <row r="2393" spans="2:6">
      <c r="B2393" s="51"/>
      <c r="C2393" s="51"/>
      <c r="D2393" s="51"/>
      <c r="F2393" s="51"/>
    </row>
    <row r="2394" spans="2:6">
      <c r="B2394" s="51"/>
      <c r="C2394" s="51"/>
      <c r="D2394" s="51"/>
      <c r="F2394" s="51"/>
    </row>
    <row r="2395" spans="2:6">
      <c r="B2395" s="51"/>
      <c r="C2395" s="51"/>
      <c r="D2395" s="51"/>
      <c r="F2395" s="51"/>
    </row>
    <row r="2396" spans="2:6">
      <c r="B2396" s="51"/>
      <c r="C2396" s="51"/>
      <c r="D2396" s="51"/>
      <c r="F2396" s="51"/>
    </row>
    <row r="2397" spans="2:6">
      <c r="B2397" s="51"/>
      <c r="C2397" s="51"/>
      <c r="D2397" s="51"/>
      <c r="F2397" s="51"/>
    </row>
    <row r="2398" spans="2:6">
      <c r="B2398" s="51"/>
      <c r="C2398" s="51"/>
      <c r="D2398" s="51"/>
      <c r="F2398" s="51"/>
    </row>
    <row r="2399" spans="2:6">
      <c r="B2399" s="51"/>
      <c r="C2399" s="51"/>
      <c r="D2399" s="51"/>
      <c r="F2399" s="51"/>
    </row>
    <row r="2400" spans="2:6">
      <c r="B2400" s="51"/>
      <c r="C2400" s="51"/>
      <c r="D2400" s="51"/>
      <c r="F2400" s="51"/>
    </row>
    <row r="2401" spans="2:6">
      <c r="B2401" s="51"/>
      <c r="C2401" s="51"/>
      <c r="D2401" s="51"/>
      <c r="F2401" s="51"/>
    </row>
    <row r="2402" spans="2:6">
      <c r="B2402" s="51"/>
      <c r="C2402" s="51"/>
      <c r="D2402" s="51"/>
      <c r="F2402" s="51"/>
    </row>
    <row r="2403" spans="2:6">
      <c r="B2403" s="51"/>
      <c r="C2403" s="51"/>
      <c r="D2403" s="51"/>
      <c r="F2403" s="51"/>
    </row>
    <row r="2404" spans="2:6">
      <c r="B2404" s="51"/>
      <c r="C2404" s="51"/>
      <c r="D2404" s="51"/>
      <c r="F2404" s="51"/>
    </row>
    <row r="2405" spans="2:6">
      <c r="B2405" s="51"/>
      <c r="C2405" s="51"/>
      <c r="D2405" s="51"/>
      <c r="F2405" s="51"/>
    </row>
    <row r="2406" spans="2:6">
      <c r="B2406" s="51"/>
      <c r="C2406" s="51"/>
      <c r="D2406" s="51"/>
      <c r="F2406" s="51"/>
    </row>
    <row r="2407" spans="2:6">
      <c r="B2407" s="51"/>
      <c r="C2407" s="51"/>
      <c r="D2407" s="51"/>
      <c r="F2407" s="51"/>
    </row>
    <row r="2408" spans="2:6">
      <c r="B2408" s="51"/>
      <c r="C2408" s="51"/>
      <c r="D2408" s="51"/>
      <c r="F2408" s="51"/>
    </row>
    <row r="2409" spans="2:6">
      <c r="B2409" s="51"/>
      <c r="C2409" s="51"/>
      <c r="D2409" s="51"/>
      <c r="F2409" s="51"/>
    </row>
    <row r="2410" spans="2:6">
      <c r="B2410" s="51"/>
      <c r="C2410" s="51"/>
      <c r="D2410" s="51"/>
      <c r="F2410" s="51"/>
    </row>
    <row r="2411" spans="2:6">
      <c r="B2411" s="51"/>
      <c r="C2411" s="51"/>
      <c r="D2411" s="51"/>
      <c r="F2411" s="51"/>
    </row>
    <row r="2412" spans="2:6">
      <c r="B2412" s="51"/>
      <c r="C2412" s="51"/>
      <c r="D2412" s="51"/>
      <c r="F2412" s="51"/>
    </row>
    <row r="2413" spans="2:6">
      <c r="B2413" s="51"/>
      <c r="C2413" s="51"/>
      <c r="D2413" s="51"/>
      <c r="F2413" s="51"/>
    </row>
    <row r="2414" spans="2:6">
      <c r="B2414" s="51"/>
      <c r="C2414" s="51"/>
      <c r="D2414" s="51"/>
      <c r="F2414" s="51"/>
    </row>
    <row r="2415" spans="2:6">
      <c r="B2415" s="51"/>
      <c r="C2415" s="51"/>
      <c r="D2415" s="51"/>
      <c r="F2415" s="51"/>
    </row>
    <row r="2416" spans="2:6">
      <c r="B2416" s="51"/>
      <c r="C2416" s="51"/>
      <c r="D2416" s="51"/>
      <c r="F2416" s="51"/>
    </row>
    <row r="2417" spans="2:6">
      <c r="B2417" s="51"/>
      <c r="C2417" s="51"/>
      <c r="D2417" s="51"/>
      <c r="F2417" s="51"/>
    </row>
    <row r="2418" spans="2:6">
      <c r="B2418" s="51"/>
      <c r="C2418" s="51"/>
      <c r="D2418" s="51"/>
      <c r="F2418" s="51"/>
    </row>
    <row r="2419" spans="2:6">
      <c r="B2419" s="51"/>
      <c r="C2419" s="51"/>
      <c r="D2419" s="51"/>
      <c r="F2419" s="51"/>
    </row>
    <row r="2420" spans="2:6">
      <c r="B2420" s="51"/>
      <c r="C2420" s="51"/>
      <c r="D2420" s="51"/>
      <c r="F2420" s="51"/>
    </row>
    <row r="2421" spans="2:6">
      <c r="B2421" s="51"/>
      <c r="C2421" s="51"/>
      <c r="D2421" s="51"/>
      <c r="F2421" s="51"/>
    </row>
    <row r="2422" spans="2:6">
      <c r="B2422" s="51"/>
      <c r="C2422" s="51"/>
      <c r="D2422" s="51"/>
      <c r="F2422" s="51"/>
    </row>
    <row r="2423" spans="2:6">
      <c r="B2423" s="51"/>
      <c r="C2423" s="51"/>
      <c r="D2423" s="51"/>
      <c r="F2423" s="51"/>
    </row>
    <row r="2424" spans="2:6">
      <c r="B2424" s="51"/>
      <c r="C2424" s="51"/>
      <c r="D2424" s="51"/>
      <c r="F2424" s="51"/>
    </row>
    <row r="2425" spans="2:6">
      <c r="B2425" s="51"/>
      <c r="C2425" s="51"/>
      <c r="D2425" s="51"/>
      <c r="F2425" s="51"/>
    </row>
    <row r="2426" spans="2:6">
      <c r="B2426" s="51"/>
      <c r="C2426" s="51"/>
      <c r="D2426" s="51"/>
      <c r="F2426" s="51"/>
    </row>
    <row r="2427" spans="2:6">
      <c r="B2427" s="51"/>
      <c r="C2427" s="51"/>
      <c r="D2427" s="51"/>
      <c r="F2427" s="51"/>
    </row>
    <row r="2428" spans="2:6">
      <c r="B2428" s="51"/>
      <c r="C2428" s="51"/>
      <c r="D2428" s="51"/>
      <c r="F2428" s="51"/>
    </row>
    <row r="2429" spans="2:6">
      <c r="B2429" s="51"/>
      <c r="C2429" s="51"/>
      <c r="D2429" s="51"/>
      <c r="F2429" s="51"/>
    </row>
    <row r="2430" spans="2:6">
      <c r="B2430" s="51"/>
      <c r="C2430" s="51"/>
      <c r="D2430" s="51"/>
      <c r="F2430" s="51"/>
    </row>
    <row r="2431" spans="2:6">
      <c r="B2431" s="51"/>
      <c r="C2431" s="51"/>
      <c r="D2431" s="51"/>
      <c r="F2431" s="51"/>
    </row>
    <row r="2432" spans="2:6">
      <c r="B2432" s="51"/>
      <c r="C2432" s="51"/>
      <c r="D2432" s="51"/>
      <c r="F2432" s="51"/>
    </row>
    <row r="2433" spans="2:6">
      <c r="B2433" s="51"/>
      <c r="C2433" s="51"/>
      <c r="D2433" s="51"/>
      <c r="F2433" s="51"/>
    </row>
    <row r="2434" spans="2:6">
      <c r="B2434" s="51"/>
      <c r="C2434" s="51"/>
      <c r="D2434" s="51"/>
      <c r="F2434" s="51"/>
    </row>
    <row r="2435" spans="2:6">
      <c r="B2435" s="51"/>
      <c r="C2435" s="51"/>
      <c r="D2435" s="51"/>
      <c r="F2435" s="51"/>
    </row>
    <row r="2436" spans="2:6">
      <c r="B2436" s="51"/>
      <c r="C2436" s="51"/>
      <c r="D2436" s="51"/>
      <c r="F2436" s="51"/>
    </row>
    <row r="2437" spans="2:6">
      <c r="B2437" s="51"/>
      <c r="C2437" s="51"/>
      <c r="D2437" s="51"/>
      <c r="F2437" s="51"/>
    </row>
    <row r="2438" spans="2:6">
      <c r="B2438" s="51"/>
      <c r="C2438" s="51"/>
      <c r="D2438" s="51"/>
      <c r="F2438" s="51"/>
    </row>
    <row r="2439" spans="2:6">
      <c r="B2439" s="51"/>
      <c r="C2439" s="51"/>
      <c r="D2439" s="51"/>
      <c r="F2439" s="51"/>
    </row>
    <row r="2440" spans="2:6">
      <c r="B2440" s="51"/>
      <c r="C2440" s="51"/>
      <c r="D2440" s="51"/>
      <c r="F2440" s="51"/>
    </row>
    <row r="2441" spans="2:6">
      <c r="B2441" s="51"/>
      <c r="C2441" s="51"/>
      <c r="D2441" s="51"/>
      <c r="F2441" s="51"/>
    </row>
    <row r="2442" spans="2:6">
      <c r="B2442" s="51"/>
      <c r="C2442" s="51"/>
      <c r="D2442" s="51"/>
      <c r="F2442" s="51"/>
    </row>
    <row r="2443" spans="2:6">
      <c r="B2443" s="51"/>
      <c r="C2443" s="51"/>
      <c r="D2443" s="51"/>
      <c r="F2443" s="51"/>
    </row>
    <row r="2444" spans="2:6">
      <c r="B2444" s="51"/>
      <c r="C2444" s="51"/>
      <c r="D2444" s="51"/>
      <c r="F2444" s="51"/>
    </row>
    <row r="2445" spans="2:6">
      <c r="B2445" s="51"/>
      <c r="C2445" s="51"/>
      <c r="D2445" s="51"/>
      <c r="F2445" s="51"/>
    </row>
    <row r="2446" spans="2:6">
      <c r="B2446" s="51"/>
      <c r="C2446" s="51"/>
      <c r="D2446" s="51"/>
      <c r="F2446" s="51"/>
    </row>
    <row r="2447" spans="2:6">
      <c r="B2447" s="51"/>
      <c r="C2447" s="51"/>
      <c r="D2447" s="51"/>
      <c r="F2447" s="51"/>
    </row>
    <row r="2448" spans="2:6">
      <c r="B2448" s="51"/>
      <c r="C2448" s="51"/>
      <c r="D2448" s="51"/>
      <c r="F2448" s="51"/>
    </row>
    <row r="2449" spans="2:6">
      <c r="B2449" s="51"/>
      <c r="C2449" s="51"/>
      <c r="D2449" s="51"/>
      <c r="F2449" s="51"/>
    </row>
    <row r="2450" spans="2:6">
      <c r="B2450" s="51"/>
      <c r="C2450" s="51"/>
      <c r="D2450" s="51"/>
      <c r="F2450" s="51"/>
    </row>
    <row r="2451" spans="2:6">
      <c r="B2451" s="51"/>
      <c r="C2451" s="51"/>
      <c r="D2451" s="51"/>
      <c r="F2451" s="51"/>
    </row>
    <row r="2452" spans="2:6">
      <c r="B2452" s="51"/>
      <c r="C2452" s="51"/>
      <c r="D2452" s="51"/>
      <c r="F2452" s="51"/>
    </row>
    <row r="2453" spans="2:6">
      <c r="B2453" s="51"/>
      <c r="C2453" s="51"/>
      <c r="D2453" s="51"/>
      <c r="F2453" s="51"/>
    </row>
    <row r="2454" spans="2:6">
      <c r="B2454" s="51"/>
      <c r="C2454" s="51"/>
      <c r="D2454" s="51"/>
      <c r="F2454" s="51"/>
    </row>
    <row r="2455" spans="2:6">
      <c r="B2455" s="51"/>
      <c r="C2455" s="51"/>
      <c r="D2455" s="51"/>
      <c r="F2455" s="51"/>
    </row>
    <row r="2456" spans="2:6">
      <c r="B2456" s="51"/>
      <c r="C2456" s="51"/>
      <c r="D2456" s="51"/>
      <c r="F2456" s="51"/>
    </row>
    <row r="2457" spans="2:6">
      <c r="B2457" s="51"/>
      <c r="C2457" s="51"/>
      <c r="D2457" s="51"/>
      <c r="F2457" s="51"/>
    </row>
    <row r="2458" spans="2:6">
      <c r="B2458" s="51"/>
      <c r="C2458" s="51"/>
      <c r="D2458" s="51"/>
      <c r="F2458" s="51"/>
    </row>
    <row r="2459" spans="2:6">
      <c r="B2459" s="51"/>
      <c r="C2459" s="51"/>
      <c r="D2459" s="51"/>
      <c r="F2459" s="51"/>
    </row>
    <row r="2460" spans="2:6">
      <c r="B2460" s="51"/>
      <c r="C2460" s="51"/>
      <c r="D2460" s="51"/>
      <c r="F2460" s="51"/>
    </row>
    <row r="2461" spans="2:6">
      <c r="B2461" s="51"/>
      <c r="C2461" s="51"/>
      <c r="D2461" s="51"/>
      <c r="F2461" s="51"/>
    </row>
    <row r="2462" spans="2:6">
      <c r="B2462" s="51"/>
      <c r="C2462" s="51"/>
      <c r="D2462" s="51"/>
      <c r="F2462" s="51"/>
    </row>
    <row r="2463" spans="2:6">
      <c r="B2463" s="51"/>
      <c r="C2463" s="51"/>
      <c r="D2463" s="51"/>
      <c r="F2463" s="51"/>
    </row>
    <row r="2464" spans="2:6">
      <c r="B2464" s="51"/>
      <c r="C2464" s="51"/>
      <c r="D2464" s="51"/>
      <c r="F2464" s="51"/>
    </row>
    <row r="2465" spans="2:6">
      <c r="B2465" s="51"/>
      <c r="C2465" s="51"/>
      <c r="D2465" s="51"/>
      <c r="F2465" s="51"/>
    </row>
    <row r="2466" spans="2:6">
      <c r="B2466" s="51"/>
      <c r="C2466" s="51"/>
      <c r="D2466" s="51"/>
      <c r="F2466" s="51"/>
    </row>
    <row r="2467" spans="2:6">
      <c r="B2467" s="51"/>
      <c r="C2467" s="51"/>
      <c r="D2467" s="51"/>
      <c r="F2467" s="51"/>
    </row>
    <row r="2468" spans="2:6">
      <c r="B2468" s="51"/>
      <c r="C2468" s="51"/>
      <c r="D2468" s="51"/>
      <c r="F2468" s="51"/>
    </row>
    <row r="2469" spans="2:6">
      <c r="B2469" s="51"/>
      <c r="C2469" s="51"/>
      <c r="D2469" s="51"/>
      <c r="F2469" s="51"/>
    </row>
    <row r="2470" spans="2:6">
      <c r="B2470" s="51"/>
      <c r="C2470" s="51"/>
      <c r="D2470" s="51"/>
      <c r="F2470" s="51"/>
    </row>
    <row r="2471" spans="2:6">
      <c r="B2471" s="51"/>
      <c r="C2471" s="51"/>
      <c r="D2471" s="51"/>
      <c r="F2471" s="51"/>
    </row>
    <row r="2472" spans="2:6">
      <c r="B2472" s="51"/>
      <c r="C2472" s="51"/>
      <c r="D2472" s="51"/>
      <c r="F2472" s="51"/>
    </row>
    <row r="2473" spans="2:6">
      <c r="B2473" s="51"/>
      <c r="C2473" s="51"/>
      <c r="D2473" s="51"/>
      <c r="F2473" s="51"/>
    </row>
    <row r="2474" spans="2:6">
      <c r="B2474" s="51"/>
      <c r="C2474" s="51"/>
      <c r="D2474" s="51"/>
      <c r="F2474" s="51"/>
    </row>
    <row r="2475" spans="2:6">
      <c r="B2475" s="51"/>
      <c r="C2475" s="51"/>
      <c r="D2475" s="51"/>
      <c r="F2475" s="51"/>
    </row>
    <row r="2476" spans="2:6">
      <c r="B2476" s="51"/>
      <c r="C2476" s="51"/>
      <c r="D2476" s="51"/>
      <c r="F2476" s="51"/>
    </row>
    <row r="2477" spans="2:6">
      <c r="B2477" s="51"/>
      <c r="C2477" s="51"/>
      <c r="D2477" s="51"/>
      <c r="F2477" s="51"/>
    </row>
    <row r="2478" spans="2:6">
      <c r="B2478" s="51"/>
      <c r="C2478" s="51"/>
      <c r="D2478" s="51"/>
      <c r="F2478" s="51"/>
    </row>
    <row r="2479" spans="2:6">
      <c r="B2479" s="51"/>
      <c r="C2479" s="51"/>
      <c r="D2479" s="51"/>
      <c r="F2479" s="51"/>
    </row>
    <row r="2480" spans="2:6">
      <c r="B2480" s="51"/>
      <c r="C2480" s="51"/>
      <c r="D2480" s="51"/>
      <c r="F2480" s="51"/>
    </row>
    <row r="2481" spans="2:6">
      <c r="B2481" s="51"/>
      <c r="C2481" s="51"/>
      <c r="D2481" s="51"/>
      <c r="F2481" s="51"/>
    </row>
    <row r="2482" spans="2:6">
      <c r="B2482" s="51"/>
      <c r="C2482" s="51"/>
      <c r="D2482" s="51"/>
      <c r="F2482" s="51"/>
    </row>
    <row r="2483" spans="2:6">
      <c r="B2483" s="51"/>
      <c r="C2483" s="51"/>
      <c r="D2483" s="51"/>
      <c r="F2483" s="51"/>
    </row>
    <row r="2484" spans="2:6">
      <c r="B2484" s="51"/>
      <c r="C2484" s="51"/>
      <c r="D2484" s="51"/>
      <c r="F2484" s="51"/>
    </row>
    <row r="2485" spans="2:6">
      <c r="B2485" s="51"/>
      <c r="C2485" s="51"/>
      <c r="D2485" s="51"/>
      <c r="F2485" s="51"/>
    </row>
    <row r="2486" spans="2:6">
      <c r="B2486" s="51"/>
      <c r="C2486" s="51"/>
      <c r="D2486" s="51"/>
      <c r="F2486" s="51"/>
    </row>
    <row r="2487" spans="2:6">
      <c r="B2487" s="51"/>
      <c r="C2487" s="51"/>
      <c r="D2487" s="51"/>
      <c r="F2487" s="51"/>
    </row>
    <row r="2488" spans="2:6">
      <c r="B2488" s="51"/>
      <c r="C2488" s="51"/>
      <c r="D2488" s="51"/>
      <c r="F2488" s="51"/>
    </row>
    <row r="2489" spans="2:6">
      <c r="B2489" s="51"/>
      <c r="C2489" s="51"/>
      <c r="D2489" s="51"/>
      <c r="F2489" s="51"/>
    </row>
    <row r="2490" spans="2:6">
      <c r="B2490" s="51"/>
      <c r="C2490" s="51"/>
      <c r="D2490" s="51"/>
      <c r="F2490" s="51"/>
    </row>
    <row r="2491" spans="2:6">
      <c r="B2491" s="51"/>
      <c r="C2491" s="51"/>
      <c r="D2491" s="51"/>
      <c r="F2491" s="51"/>
    </row>
    <row r="2492" spans="2:6">
      <c r="B2492" s="51"/>
      <c r="C2492" s="51"/>
      <c r="D2492" s="51"/>
      <c r="F2492" s="51"/>
    </row>
    <row r="2493" spans="2:6">
      <c r="B2493" s="51"/>
      <c r="C2493" s="51"/>
      <c r="D2493" s="51"/>
      <c r="F2493" s="51"/>
    </row>
    <row r="2494" spans="2:6">
      <c r="B2494" s="51"/>
      <c r="C2494" s="51"/>
      <c r="D2494" s="51"/>
      <c r="F2494" s="51"/>
    </row>
    <row r="2495" spans="2:6">
      <c r="B2495" s="51"/>
      <c r="C2495" s="51"/>
      <c r="D2495" s="51"/>
      <c r="F2495" s="51"/>
    </row>
    <row r="2496" spans="2:6">
      <c r="B2496" s="51"/>
      <c r="C2496" s="51"/>
      <c r="D2496" s="51"/>
      <c r="F2496" s="51"/>
    </row>
    <row r="2497" spans="2:6">
      <c r="B2497" s="51"/>
      <c r="C2497" s="51"/>
      <c r="D2497" s="51"/>
      <c r="F2497" s="51"/>
    </row>
    <row r="2498" spans="2:6">
      <c r="B2498" s="51"/>
      <c r="C2498" s="51"/>
      <c r="D2498" s="51"/>
      <c r="F2498" s="51"/>
    </row>
    <row r="2499" spans="2:6">
      <c r="B2499" s="51"/>
      <c r="C2499" s="51"/>
      <c r="D2499" s="51"/>
      <c r="F2499" s="51"/>
    </row>
    <row r="2500" spans="2:6">
      <c r="B2500" s="51"/>
      <c r="C2500" s="51"/>
      <c r="D2500" s="51"/>
      <c r="F2500" s="51"/>
    </row>
    <row r="2501" spans="2:6">
      <c r="B2501" s="51"/>
      <c r="C2501" s="51"/>
      <c r="D2501" s="51"/>
      <c r="F2501" s="51"/>
    </row>
    <row r="2502" spans="2:6">
      <c r="B2502" s="51"/>
      <c r="C2502" s="51"/>
      <c r="D2502" s="51"/>
      <c r="F2502" s="51"/>
    </row>
    <row r="2503" spans="2:6">
      <c r="B2503" s="51"/>
      <c r="C2503" s="51"/>
      <c r="D2503" s="51"/>
      <c r="F2503" s="51"/>
    </row>
    <row r="2504" spans="2:6">
      <c r="B2504" s="51"/>
      <c r="C2504" s="51"/>
      <c r="D2504" s="51"/>
      <c r="F2504" s="51"/>
    </row>
    <row r="2505" spans="2:6">
      <c r="B2505" s="51"/>
      <c r="C2505" s="51"/>
      <c r="D2505" s="51"/>
      <c r="F2505" s="51"/>
    </row>
    <row r="2506" spans="2:6">
      <c r="B2506" s="51"/>
      <c r="C2506" s="51"/>
      <c r="D2506" s="51"/>
      <c r="F2506" s="51"/>
    </row>
    <row r="2507" spans="2:6">
      <c r="B2507" s="51"/>
      <c r="C2507" s="51"/>
      <c r="D2507" s="51"/>
      <c r="F2507" s="51"/>
    </row>
    <row r="2508" spans="2:6">
      <c r="B2508" s="51"/>
      <c r="C2508" s="51"/>
      <c r="D2508" s="51"/>
      <c r="F2508" s="51"/>
    </row>
    <row r="2509" spans="2:6">
      <c r="B2509" s="51"/>
      <c r="C2509" s="51"/>
      <c r="D2509" s="51"/>
      <c r="F2509" s="51"/>
    </row>
    <row r="2510" spans="2:6">
      <c r="B2510" s="51"/>
      <c r="C2510" s="51"/>
      <c r="D2510" s="51"/>
      <c r="F2510" s="51"/>
    </row>
    <row r="2511" spans="2:6">
      <c r="B2511" s="51"/>
      <c r="C2511" s="51"/>
      <c r="D2511" s="51"/>
      <c r="F2511" s="51"/>
    </row>
    <row r="2512" spans="2:6">
      <c r="B2512" s="51"/>
      <c r="C2512" s="51"/>
      <c r="D2512" s="51"/>
      <c r="F2512" s="51"/>
    </row>
    <row r="2513" spans="2:6">
      <c r="B2513" s="51"/>
      <c r="C2513" s="51"/>
      <c r="D2513" s="51"/>
      <c r="F2513" s="51"/>
    </row>
    <row r="2514" spans="2:6">
      <c r="B2514" s="51"/>
      <c r="C2514" s="51"/>
      <c r="D2514" s="51"/>
      <c r="F2514" s="51"/>
    </row>
    <row r="2515" spans="2:6">
      <c r="B2515" s="51"/>
      <c r="C2515" s="51"/>
      <c r="D2515" s="51"/>
      <c r="F2515" s="51"/>
    </row>
    <row r="2516" spans="2:6">
      <c r="B2516" s="51"/>
      <c r="C2516" s="51"/>
      <c r="D2516" s="51"/>
      <c r="F2516" s="51"/>
    </row>
    <row r="2517" spans="2:6">
      <c r="B2517" s="51"/>
      <c r="C2517" s="51"/>
      <c r="D2517" s="51"/>
      <c r="F2517" s="51"/>
    </row>
    <row r="2518" spans="2:6">
      <c r="B2518" s="51"/>
      <c r="C2518" s="51"/>
      <c r="D2518" s="51"/>
      <c r="F2518" s="51"/>
    </row>
    <row r="2519" spans="2:6">
      <c r="B2519" s="51"/>
      <c r="C2519" s="51"/>
      <c r="D2519" s="51"/>
      <c r="F2519" s="51"/>
    </row>
    <row r="2520" spans="2:6">
      <c r="B2520" s="51"/>
      <c r="C2520" s="51"/>
      <c r="D2520" s="51"/>
      <c r="F2520" s="51"/>
    </row>
    <row r="2521" spans="2:6">
      <c r="B2521" s="51"/>
      <c r="C2521" s="51"/>
      <c r="D2521" s="51"/>
      <c r="F2521" s="51"/>
    </row>
    <row r="2522" spans="2:6">
      <c r="B2522" s="51"/>
      <c r="C2522" s="51"/>
      <c r="D2522" s="51"/>
      <c r="F2522" s="51"/>
    </row>
    <row r="2523" spans="2:6">
      <c r="B2523" s="51"/>
      <c r="C2523" s="51"/>
      <c r="D2523" s="51"/>
      <c r="F2523" s="51"/>
    </row>
    <row r="2524" spans="2:6">
      <c r="B2524" s="51"/>
      <c r="C2524" s="51"/>
      <c r="D2524" s="51"/>
      <c r="F2524" s="51"/>
    </row>
    <row r="2525" spans="2:6">
      <c r="B2525" s="51"/>
      <c r="C2525" s="51"/>
      <c r="D2525" s="51"/>
      <c r="F2525" s="51"/>
    </row>
    <row r="2526" spans="2:6">
      <c r="B2526" s="51"/>
      <c r="C2526" s="51"/>
      <c r="D2526" s="51"/>
      <c r="F2526" s="51"/>
    </row>
    <row r="2527" spans="2:6">
      <c r="B2527" s="51"/>
      <c r="C2527" s="51"/>
      <c r="D2527" s="51"/>
      <c r="F2527" s="51"/>
    </row>
    <row r="2528" spans="2:6">
      <c r="B2528" s="51"/>
      <c r="C2528" s="51"/>
      <c r="D2528" s="51"/>
      <c r="F2528" s="51"/>
    </row>
    <row r="2529" spans="2:6">
      <c r="B2529" s="51"/>
      <c r="C2529" s="51"/>
      <c r="D2529" s="51"/>
      <c r="F2529" s="51"/>
    </row>
    <row r="2530" spans="2:6">
      <c r="B2530" s="51"/>
      <c r="C2530" s="51"/>
      <c r="D2530" s="51"/>
      <c r="F2530" s="51"/>
    </row>
    <row r="2531" spans="2:6">
      <c r="B2531" s="51"/>
      <c r="C2531" s="51"/>
      <c r="D2531" s="51"/>
      <c r="F2531" s="51"/>
    </row>
    <row r="2532" spans="2:6">
      <c r="B2532" s="51"/>
      <c r="C2532" s="51"/>
      <c r="D2532" s="51"/>
      <c r="F2532" s="51"/>
    </row>
    <row r="2533" spans="2:6">
      <c r="B2533" s="51"/>
      <c r="C2533" s="51"/>
      <c r="D2533" s="51"/>
      <c r="F2533" s="51"/>
    </row>
    <row r="2534" spans="2:6">
      <c r="B2534" s="51"/>
      <c r="C2534" s="51"/>
      <c r="D2534" s="51"/>
      <c r="F2534" s="51"/>
    </row>
    <row r="2535" spans="2:6">
      <c r="B2535" s="51"/>
      <c r="C2535" s="51"/>
      <c r="D2535" s="51"/>
      <c r="F2535" s="51"/>
    </row>
    <row r="2536" spans="2:6">
      <c r="B2536" s="51"/>
      <c r="C2536" s="51"/>
      <c r="D2536" s="51"/>
      <c r="F2536" s="51"/>
    </row>
    <row r="2537" spans="2:6">
      <c r="B2537" s="51"/>
      <c r="C2537" s="51"/>
      <c r="D2537" s="51"/>
      <c r="F2537" s="51"/>
    </row>
    <row r="2538" spans="2:6">
      <c r="B2538" s="51"/>
      <c r="C2538" s="51"/>
      <c r="D2538" s="51"/>
      <c r="F2538" s="51"/>
    </row>
    <row r="2539" spans="2:6">
      <c r="B2539" s="51"/>
      <c r="C2539" s="51"/>
      <c r="D2539" s="51"/>
      <c r="F2539" s="51"/>
    </row>
    <row r="2540" spans="2:6">
      <c r="B2540" s="51"/>
      <c r="C2540" s="51"/>
      <c r="D2540" s="51"/>
      <c r="F2540" s="51"/>
    </row>
    <row r="2541" spans="2:6">
      <c r="B2541" s="51"/>
      <c r="C2541" s="51"/>
      <c r="D2541" s="51"/>
      <c r="F2541" s="51"/>
    </row>
    <row r="2542" spans="2:6">
      <c r="B2542" s="51"/>
      <c r="C2542" s="51"/>
      <c r="D2542" s="51"/>
      <c r="F2542" s="51"/>
    </row>
    <row r="2543" spans="2:6">
      <c r="B2543" s="51"/>
      <c r="C2543" s="51"/>
      <c r="D2543" s="51"/>
      <c r="F2543" s="51"/>
    </row>
    <row r="2544" spans="2:6">
      <c r="B2544" s="51"/>
      <c r="C2544" s="51"/>
      <c r="D2544" s="51"/>
      <c r="F2544" s="51"/>
    </row>
    <row r="2545" spans="2:6">
      <c r="B2545" s="51"/>
      <c r="C2545" s="51"/>
      <c r="D2545" s="51"/>
      <c r="F2545" s="51"/>
    </row>
    <row r="2546" spans="2:6">
      <c r="B2546" s="51"/>
      <c r="C2546" s="51"/>
      <c r="D2546" s="51"/>
      <c r="F2546" s="51"/>
    </row>
    <row r="2547" spans="2:6">
      <c r="B2547" s="51"/>
      <c r="C2547" s="51"/>
      <c r="D2547" s="51"/>
      <c r="F2547" s="51"/>
    </row>
    <row r="2548" spans="2:6">
      <c r="B2548" s="51"/>
      <c r="C2548" s="51"/>
      <c r="D2548" s="51"/>
      <c r="F2548" s="51"/>
    </row>
    <row r="2549" spans="2:6">
      <c r="B2549" s="51"/>
      <c r="C2549" s="51"/>
      <c r="D2549" s="51"/>
      <c r="F2549" s="51"/>
    </row>
    <row r="2550" spans="2:6">
      <c r="B2550" s="51"/>
      <c r="C2550" s="51"/>
      <c r="D2550" s="51"/>
      <c r="F2550" s="51"/>
    </row>
    <row r="2551" spans="2:6">
      <c r="B2551" s="51"/>
      <c r="C2551" s="51"/>
      <c r="D2551" s="51"/>
      <c r="F2551" s="51"/>
    </row>
    <row r="2552" spans="2:6">
      <c r="B2552" s="51"/>
      <c r="C2552" s="51"/>
      <c r="D2552" s="51"/>
      <c r="F2552" s="51"/>
    </row>
    <row r="2553" spans="2:6">
      <c r="B2553" s="51"/>
      <c r="C2553" s="51"/>
      <c r="D2553" s="51"/>
      <c r="F2553" s="51"/>
    </row>
    <row r="2554" spans="2:6">
      <c r="B2554" s="51"/>
      <c r="C2554" s="51"/>
      <c r="D2554" s="51"/>
      <c r="F2554" s="51"/>
    </row>
    <row r="2555" spans="2:6">
      <c r="B2555" s="51"/>
      <c r="C2555" s="51"/>
      <c r="D2555" s="51"/>
      <c r="F2555" s="51"/>
    </row>
    <row r="2556" spans="2:6">
      <c r="B2556" s="51"/>
      <c r="C2556" s="51"/>
      <c r="D2556" s="51"/>
      <c r="F2556" s="51"/>
    </row>
    <row r="2557" spans="2:6">
      <c r="B2557" s="51"/>
      <c r="C2557" s="51"/>
      <c r="D2557" s="51"/>
      <c r="F2557" s="51"/>
    </row>
    <row r="2558" spans="2:6">
      <c r="B2558" s="51"/>
      <c r="C2558" s="51"/>
      <c r="D2558" s="51"/>
      <c r="F2558" s="51"/>
    </row>
    <row r="2559" spans="2:6">
      <c r="B2559" s="51"/>
      <c r="C2559" s="51"/>
      <c r="D2559" s="51"/>
      <c r="F2559" s="51"/>
    </row>
    <row r="2560" spans="2:6">
      <c r="B2560" s="51"/>
      <c r="C2560" s="51"/>
      <c r="D2560" s="51"/>
      <c r="F2560" s="51"/>
    </row>
    <row r="2561" spans="2:6">
      <c r="B2561" s="51"/>
      <c r="C2561" s="51"/>
      <c r="D2561" s="51"/>
      <c r="F2561" s="51"/>
    </row>
    <row r="2562" spans="2:6">
      <c r="B2562" s="51"/>
      <c r="C2562" s="51"/>
      <c r="D2562" s="51"/>
      <c r="F2562" s="51"/>
    </row>
    <row r="2563" spans="2:6">
      <c r="B2563" s="51"/>
      <c r="C2563" s="51"/>
      <c r="D2563" s="51"/>
      <c r="F2563" s="51"/>
    </row>
    <row r="2564" spans="2:6">
      <c r="B2564" s="51"/>
      <c r="C2564" s="51"/>
      <c r="D2564" s="51"/>
      <c r="F2564" s="51"/>
    </row>
    <row r="2565" spans="2:6">
      <c r="B2565" s="51"/>
      <c r="C2565" s="51"/>
      <c r="D2565" s="51"/>
      <c r="F2565" s="51"/>
    </row>
    <row r="2566" spans="2:6">
      <c r="B2566" s="51"/>
      <c r="C2566" s="51"/>
      <c r="D2566" s="51"/>
      <c r="F2566" s="51"/>
    </row>
    <row r="2567" spans="2:6">
      <c r="B2567" s="51"/>
      <c r="C2567" s="51"/>
      <c r="D2567" s="51"/>
      <c r="F2567" s="51"/>
    </row>
    <row r="2568" spans="2:6">
      <c r="B2568" s="51"/>
      <c r="C2568" s="51"/>
      <c r="D2568" s="51"/>
      <c r="F2568" s="51"/>
    </row>
    <row r="2569" spans="2:6">
      <c r="B2569" s="51"/>
      <c r="C2569" s="51"/>
      <c r="D2569" s="51"/>
      <c r="F2569" s="51"/>
    </row>
    <row r="2570" spans="2:6">
      <c r="B2570" s="51"/>
      <c r="C2570" s="51"/>
      <c r="D2570" s="51"/>
      <c r="F2570" s="51"/>
    </row>
    <row r="2571" spans="2:6">
      <c r="B2571" s="51"/>
      <c r="C2571" s="51"/>
      <c r="D2571" s="51"/>
      <c r="F2571" s="51"/>
    </row>
    <row r="2572" spans="2:6">
      <c r="B2572" s="51"/>
      <c r="C2572" s="51"/>
      <c r="D2572" s="51"/>
      <c r="F2572" s="51"/>
    </row>
    <row r="2573" spans="2:6">
      <c r="B2573" s="51"/>
      <c r="C2573" s="51"/>
      <c r="D2573" s="51"/>
      <c r="F2573" s="51"/>
    </row>
    <row r="2574" spans="2:6">
      <c r="B2574" s="51"/>
      <c r="C2574" s="51"/>
      <c r="D2574" s="51"/>
      <c r="F2574" s="51"/>
    </row>
    <row r="2575" spans="2:6">
      <c r="B2575" s="51"/>
      <c r="C2575" s="51"/>
      <c r="D2575" s="51"/>
      <c r="F2575" s="51"/>
    </row>
    <row r="2576" spans="2:6">
      <c r="B2576" s="51"/>
      <c r="C2576" s="51"/>
      <c r="D2576" s="51"/>
      <c r="F2576" s="51"/>
    </row>
    <row r="2577" spans="2:6">
      <c r="B2577" s="51"/>
      <c r="C2577" s="51"/>
      <c r="D2577" s="51"/>
      <c r="F2577" s="51"/>
    </row>
    <row r="2578" spans="2:6">
      <c r="B2578" s="51"/>
      <c r="C2578" s="51"/>
      <c r="D2578" s="51"/>
      <c r="F2578" s="51"/>
    </row>
    <row r="2579" spans="2:6">
      <c r="B2579" s="51"/>
      <c r="C2579" s="51"/>
      <c r="D2579" s="51"/>
      <c r="F2579" s="51"/>
    </row>
    <row r="2580" spans="2:6">
      <c r="B2580" s="51"/>
      <c r="C2580" s="51"/>
      <c r="D2580" s="51"/>
      <c r="F2580" s="51"/>
    </row>
    <row r="2581" spans="2:6">
      <c r="B2581" s="51"/>
      <c r="C2581" s="51"/>
      <c r="D2581" s="51"/>
      <c r="F2581" s="51"/>
    </row>
    <row r="2582" spans="2:6">
      <c r="B2582" s="51"/>
      <c r="C2582" s="51"/>
      <c r="D2582" s="51"/>
      <c r="F2582" s="51"/>
    </row>
    <row r="2583" spans="2:6">
      <c r="B2583" s="51"/>
      <c r="C2583" s="51"/>
      <c r="D2583" s="51"/>
      <c r="F2583" s="51"/>
    </row>
    <row r="2584" spans="2:6">
      <c r="B2584" s="51"/>
      <c r="C2584" s="51"/>
      <c r="D2584" s="51"/>
      <c r="F2584" s="51"/>
    </row>
    <row r="2585" spans="2:6">
      <c r="B2585" s="51"/>
      <c r="C2585" s="51"/>
      <c r="D2585" s="51"/>
      <c r="F2585" s="51"/>
    </row>
    <row r="2586" spans="2:6">
      <c r="B2586" s="51"/>
      <c r="C2586" s="51"/>
      <c r="D2586" s="51"/>
      <c r="F2586" s="51"/>
    </row>
    <row r="2587" spans="2:6">
      <c r="B2587" s="51"/>
      <c r="C2587" s="51"/>
      <c r="D2587" s="51"/>
      <c r="F2587" s="51"/>
    </row>
    <row r="2588" spans="2:6">
      <c r="B2588" s="51"/>
      <c r="C2588" s="51"/>
      <c r="D2588" s="51"/>
      <c r="F2588" s="51"/>
    </row>
    <row r="2589" spans="2:6">
      <c r="B2589" s="51"/>
      <c r="C2589" s="51"/>
      <c r="D2589" s="51"/>
      <c r="F2589" s="51"/>
    </row>
    <row r="2590" spans="2:6">
      <c r="B2590" s="51"/>
      <c r="C2590" s="51"/>
      <c r="D2590" s="51"/>
      <c r="F2590" s="51"/>
    </row>
    <row r="2591" spans="2:6">
      <c r="B2591" s="51"/>
      <c r="C2591" s="51"/>
      <c r="D2591" s="51"/>
      <c r="F2591" s="51"/>
    </row>
    <row r="2592" spans="2:6">
      <c r="B2592" s="51"/>
      <c r="C2592" s="51"/>
      <c r="D2592" s="51"/>
      <c r="F2592" s="51"/>
    </row>
    <row r="2593" spans="2:6">
      <c r="B2593" s="51"/>
      <c r="C2593" s="51"/>
      <c r="D2593" s="51"/>
      <c r="F2593" s="51"/>
    </row>
    <row r="2594" spans="2:6">
      <c r="B2594" s="51"/>
      <c r="C2594" s="51"/>
      <c r="D2594" s="51"/>
      <c r="F2594" s="51"/>
    </row>
    <row r="2595" spans="2:6">
      <c r="B2595" s="51"/>
      <c r="C2595" s="51"/>
      <c r="D2595" s="51"/>
      <c r="F2595" s="51"/>
    </row>
    <row r="2596" spans="2:6">
      <c r="B2596" s="51"/>
      <c r="C2596" s="51"/>
      <c r="D2596" s="51"/>
      <c r="F2596" s="51"/>
    </row>
    <row r="2597" spans="2:6">
      <c r="B2597" s="51"/>
      <c r="C2597" s="51"/>
      <c r="D2597" s="51"/>
      <c r="F2597" s="51"/>
    </row>
    <row r="2598" spans="2:6">
      <c r="B2598" s="51"/>
      <c r="C2598" s="51"/>
      <c r="D2598" s="51"/>
      <c r="F2598" s="51"/>
    </row>
    <row r="2599" spans="2:6">
      <c r="B2599" s="51"/>
      <c r="C2599" s="51"/>
      <c r="D2599" s="51"/>
      <c r="F2599" s="51"/>
    </row>
    <row r="2600" spans="2:6">
      <c r="B2600" s="51"/>
      <c r="C2600" s="51"/>
      <c r="D2600" s="51"/>
      <c r="F2600" s="51"/>
    </row>
    <row r="2601" spans="2:6">
      <c r="B2601" s="51"/>
      <c r="C2601" s="51"/>
      <c r="D2601" s="51"/>
      <c r="F2601" s="51"/>
    </row>
    <row r="2602" spans="2:6">
      <c r="B2602" s="51"/>
      <c r="C2602" s="51"/>
      <c r="D2602" s="51"/>
      <c r="F2602" s="51"/>
    </row>
    <row r="2603" spans="2:6">
      <c r="B2603" s="51"/>
      <c r="C2603" s="51"/>
      <c r="D2603" s="51"/>
      <c r="F2603" s="51"/>
    </row>
    <row r="2604" spans="2:6">
      <c r="B2604" s="51"/>
      <c r="C2604" s="51"/>
      <c r="D2604" s="51"/>
      <c r="F2604" s="51"/>
    </row>
    <row r="2605" spans="2:6">
      <c r="B2605" s="51"/>
      <c r="C2605" s="51"/>
      <c r="D2605" s="51"/>
      <c r="F2605" s="51"/>
    </row>
    <row r="2606" spans="2:6">
      <c r="B2606" s="51"/>
      <c r="C2606" s="51"/>
      <c r="D2606" s="51"/>
      <c r="F2606" s="51"/>
    </row>
    <row r="2607" spans="2:6">
      <c r="B2607" s="51"/>
      <c r="C2607" s="51"/>
      <c r="D2607" s="51"/>
      <c r="F2607" s="51"/>
    </row>
    <row r="2608" spans="2:6">
      <c r="B2608" s="51"/>
      <c r="C2608" s="51"/>
      <c r="D2608" s="51"/>
      <c r="F2608" s="51"/>
    </row>
    <row r="2609" spans="2:6">
      <c r="B2609" s="51"/>
      <c r="C2609" s="51"/>
      <c r="D2609" s="51"/>
      <c r="F2609" s="51"/>
    </row>
    <row r="2610" spans="2:6">
      <c r="B2610" s="51"/>
      <c r="C2610" s="51"/>
      <c r="D2610" s="51"/>
      <c r="F2610" s="51"/>
    </row>
    <row r="2611" spans="2:6">
      <c r="B2611" s="51"/>
      <c r="C2611" s="51"/>
      <c r="D2611" s="51"/>
      <c r="F2611" s="51"/>
    </row>
    <row r="2612" spans="2:6">
      <c r="B2612" s="51"/>
      <c r="C2612" s="51"/>
      <c r="D2612" s="51"/>
      <c r="F2612" s="51"/>
    </row>
    <row r="2613" spans="2:6">
      <c r="B2613" s="51"/>
      <c r="C2613" s="51"/>
      <c r="D2613" s="51"/>
      <c r="F2613" s="51"/>
    </row>
    <row r="2614" spans="2:6">
      <c r="B2614" s="51"/>
      <c r="C2614" s="51"/>
      <c r="D2614" s="51"/>
      <c r="F2614" s="51"/>
    </row>
    <row r="2615" spans="2:6">
      <c r="B2615" s="51"/>
      <c r="C2615" s="51"/>
      <c r="D2615" s="51"/>
      <c r="F2615" s="51"/>
    </row>
    <row r="2616" spans="2:6">
      <c r="B2616" s="51"/>
      <c r="C2616" s="51"/>
      <c r="D2616" s="51"/>
      <c r="F2616" s="51"/>
    </row>
    <row r="2617" spans="2:6">
      <c r="B2617" s="51"/>
      <c r="C2617" s="51"/>
      <c r="D2617" s="51"/>
      <c r="F2617" s="51"/>
    </row>
    <row r="2618" spans="2:6">
      <c r="B2618" s="51"/>
      <c r="C2618" s="51"/>
      <c r="D2618" s="51"/>
      <c r="F2618" s="51"/>
    </row>
    <row r="2619" spans="2:6">
      <c r="B2619" s="51"/>
      <c r="C2619" s="51"/>
      <c r="D2619" s="51"/>
      <c r="F2619" s="51"/>
    </row>
    <row r="2620" spans="2:6">
      <c r="B2620" s="51"/>
      <c r="C2620" s="51"/>
      <c r="D2620" s="51"/>
      <c r="F2620" s="51"/>
    </row>
    <row r="2621" spans="2:6">
      <c r="B2621" s="51"/>
      <c r="C2621" s="51"/>
      <c r="D2621" s="51"/>
      <c r="F2621" s="51"/>
    </row>
    <row r="2622" spans="2:6">
      <c r="B2622" s="51"/>
      <c r="C2622" s="51"/>
      <c r="D2622" s="51"/>
      <c r="F2622" s="51"/>
    </row>
    <row r="2623" spans="2:6">
      <c r="B2623" s="51"/>
      <c r="C2623" s="51"/>
      <c r="D2623" s="51"/>
      <c r="F2623" s="51"/>
    </row>
    <row r="2624" spans="2:6">
      <c r="B2624" s="51"/>
      <c r="C2624" s="51"/>
      <c r="D2624" s="51"/>
      <c r="F2624" s="51"/>
    </row>
    <row r="2625" spans="2:6">
      <c r="B2625" s="51"/>
      <c r="C2625" s="51"/>
      <c r="D2625" s="51"/>
      <c r="F2625" s="51"/>
    </row>
    <row r="2626" spans="2:6">
      <c r="B2626" s="51"/>
      <c r="C2626" s="51"/>
      <c r="D2626" s="51"/>
      <c r="F2626" s="51"/>
    </row>
    <row r="2627" spans="2:6">
      <c r="B2627" s="51"/>
      <c r="C2627" s="51"/>
      <c r="D2627" s="51"/>
      <c r="F2627" s="51"/>
    </row>
    <row r="2628" spans="2:6">
      <c r="B2628" s="51"/>
      <c r="C2628" s="51"/>
      <c r="D2628" s="51"/>
      <c r="F2628" s="51"/>
    </row>
    <row r="2629" spans="2:6">
      <c r="B2629" s="51"/>
      <c r="C2629" s="51"/>
      <c r="D2629" s="51"/>
      <c r="F2629" s="51"/>
    </row>
    <row r="2630" spans="2:6">
      <c r="B2630" s="51"/>
      <c r="C2630" s="51"/>
      <c r="D2630" s="51"/>
      <c r="F2630" s="51"/>
    </row>
    <row r="2631" spans="2:6">
      <c r="B2631" s="51"/>
      <c r="C2631" s="51"/>
      <c r="D2631" s="51"/>
      <c r="F2631" s="51"/>
    </row>
    <row r="2632" spans="2:6">
      <c r="B2632" s="51"/>
      <c r="C2632" s="51"/>
      <c r="D2632" s="51"/>
      <c r="F2632" s="51"/>
    </row>
    <row r="2633" spans="2:6">
      <c r="B2633" s="51"/>
      <c r="C2633" s="51"/>
      <c r="D2633" s="51"/>
      <c r="F2633" s="51"/>
    </row>
    <row r="2634" spans="2:6">
      <c r="B2634" s="51"/>
      <c r="C2634" s="51"/>
      <c r="D2634" s="51"/>
      <c r="F2634" s="51"/>
    </row>
    <row r="2635" spans="2:6">
      <c r="B2635" s="51"/>
      <c r="C2635" s="51"/>
      <c r="D2635" s="51"/>
      <c r="F2635" s="51"/>
    </row>
    <row r="2636" spans="2:6">
      <c r="B2636" s="51"/>
      <c r="C2636" s="51"/>
      <c r="D2636" s="51"/>
      <c r="F2636" s="51"/>
    </row>
    <row r="2637" spans="2:6">
      <c r="B2637" s="51"/>
      <c r="C2637" s="51"/>
      <c r="D2637" s="51"/>
      <c r="F2637" s="51"/>
    </row>
    <row r="2638" spans="2:6">
      <c r="B2638" s="51"/>
      <c r="C2638" s="51"/>
      <c r="D2638" s="51"/>
      <c r="F2638" s="51"/>
    </row>
    <row r="2639" spans="2:6">
      <c r="B2639" s="51"/>
      <c r="C2639" s="51"/>
      <c r="D2639" s="51"/>
      <c r="F2639" s="51"/>
    </row>
    <row r="2640" spans="2:6">
      <c r="B2640" s="51"/>
      <c r="C2640" s="51"/>
      <c r="D2640" s="51"/>
      <c r="F2640" s="51"/>
    </row>
    <row r="2641" spans="2:6">
      <c r="B2641" s="51"/>
      <c r="C2641" s="51"/>
      <c r="D2641" s="51"/>
      <c r="F2641" s="51"/>
    </row>
    <row r="2642" spans="2:6">
      <c r="B2642" s="51"/>
      <c r="C2642" s="51"/>
      <c r="D2642" s="51"/>
      <c r="F2642" s="51"/>
    </row>
    <row r="2643" spans="2:6">
      <c r="B2643" s="51"/>
      <c r="C2643" s="51"/>
      <c r="D2643" s="51"/>
      <c r="F2643" s="51"/>
    </row>
    <row r="2644" spans="2:6">
      <c r="B2644" s="51"/>
      <c r="C2644" s="51"/>
      <c r="D2644" s="51"/>
      <c r="F2644" s="51"/>
    </row>
    <row r="2645" spans="2:6">
      <c r="B2645" s="51"/>
      <c r="C2645" s="51"/>
      <c r="D2645" s="51"/>
      <c r="F2645" s="51"/>
    </row>
    <row r="2646" spans="2:6">
      <c r="B2646" s="51"/>
      <c r="C2646" s="51"/>
      <c r="D2646" s="51"/>
      <c r="F2646" s="51"/>
    </row>
    <row r="2647" spans="2:6">
      <c r="B2647" s="51"/>
      <c r="C2647" s="51"/>
      <c r="D2647" s="51"/>
      <c r="F2647" s="51"/>
    </row>
    <row r="2648" spans="2:6">
      <c r="B2648" s="51"/>
      <c r="C2648" s="51"/>
      <c r="D2648" s="51"/>
      <c r="F2648" s="51"/>
    </row>
    <row r="2649" spans="2:6">
      <c r="B2649" s="51"/>
      <c r="C2649" s="51"/>
      <c r="D2649" s="51"/>
      <c r="F2649" s="51"/>
    </row>
    <row r="2650" spans="2:6">
      <c r="B2650" s="51"/>
      <c r="C2650" s="51"/>
      <c r="D2650" s="51"/>
      <c r="F2650" s="51"/>
    </row>
    <row r="2651" spans="2:6">
      <c r="B2651" s="51"/>
      <c r="C2651" s="51"/>
      <c r="D2651" s="51"/>
      <c r="F2651" s="51"/>
    </row>
    <row r="2652" spans="2:6">
      <c r="B2652" s="51"/>
      <c r="C2652" s="51"/>
      <c r="D2652" s="51"/>
      <c r="F2652" s="51"/>
    </row>
    <row r="2653" spans="2:6">
      <c r="B2653" s="51"/>
      <c r="C2653" s="51"/>
      <c r="D2653" s="51"/>
      <c r="F2653" s="51"/>
    </row>
    <row r="2654" spans="2:6">
      <c r="B2654" s="51"/>
      <c r="C2654" s="51"/>
      <c r="D2654" s="51"/>
      <c r="F2654" s="51"/>
    </row>
    <row r="2655" spans="2:6">
      <c r="B2655" s="51"/>
      <c r="C2655" s="51"/>
      <c r="D2655" s="51"/>
      <c r="F2655" s="51"/>
    </row>
    <row r="2656" spans="2:6">
      <c r="B2656" s="51"/>
      <c r="C2656" s="51"/>
      <c r="D2656" s="51"/>
      <c r="F2656" s="51"/>
    </row>
    <row r="2657" spans="2:6">
      <c r="B2657" s="51"/>
      <c r="C2657" s="51"/>
      <c r="D2657" s="51"/>
      <c r="F2657" s="51"/>
    </row>
    <row r="2658" spans="2:6">
      <c r="B2658" s="51"/>
      <c r="C2658" s="51"/>
      <c r="D2658" s="51"/>
      <c r="F2658" s="51"/>
    </row>
    <row r="2659" spans="2:6">
      <c r="B2659" s="51"/>
      <c r="C2659" s="51"/>
      <c r="D2659" s="51"/>
      <c r="F2659" s="51"/>
    </row>
    <row r="2660" spans="2:6">
      <c r="B2660" s="51"/>
      <c r="C2660" s="51"/>
      <c r="D2660" s="51"/>
      <c r="F2660" s="51"/>
    </row>
    <row r="2661" spans="2:6">
      <c r="B2661" s="51"/>
      <c r="C2661" s="51"/>
      <c r="D2661" s="51"/>
      <c r="F2661" s="51"/>
    </row>
    <row r="2662" spans="2:6">
      <c r="B2662" s="51"/>
      <c r="C2662" s="51"/>
      <c r="D2662" s="51"/>
      <c r="F2662" s="51"/>
    </row>
    <row r="2663" spans="2:6">
      <c r="B2663" s="51"/>
      <c r="C2663" s="51"/>
      <c r="D2663" s="51"/>
      <c r="F2663" s="51"/>
    </row>
    <row r="2664" spans="2:6">
      <c r="B2664" s="51"/>
      <c r="C2664" s="51"/>
      <c r="D2664" s="51"/>
      <c r="F2664" s="51"/>
    </row>
    <row r="2665" spans="2:6">
      <c r="B2665" s="51"/>
      <c r="C2665" s="51"/>
      <c r="D2665" s="51"/>
      <c r="F2665" s="51"/>
    </row>
    <row r="2666" spans="2:6">
      <c r="B2666" s="51"/>
      <c r="C2666" s="51"/>
      <c r="D2666" s="51"/>
      <c r="F2666" s="51"/>
    </row>
    <row r="2667" spans="2:6">
      <c r="B2667" s="51"/>
      <c r="C2667" s="51"/>
      <c r="D2667" s="51"/>
      <c r="F2667" s="51"/>
    </row>
    <row r="2668" spans="2:6">
      <c r="B2668" s="51"/>
      <c r="C2668" s="51"/>
      <c r="D2668" s="51"/>
      <c r="F2668" s="51"/>
    </row>
    <row r="2669" spans="2:6">
      <c r="B2669" s="51"/>
      <c r="C2669" s="51"/>
      <c r="D2669" s="51"/>
      <c r="F2669" s="51"/>
    </row>
    <row r="2670" spans="2:6">
      <c r="B2670" s="51"/>
      <c r="C2670" s="51"/>
      <c r="D2670" s="51"/>
      <c r="F2670" s="51"/>
    </row>
    <row r="2671" spans="2:6">
      <c r="B2671" s="51"/>
      <c r="C2671" s="51"/>
      <c r="D2671" s="51"/>
      <c r="F2671" s="51"/>
    </row>
    <row r="2672" spans="2:6">
      <c r="B2672" s="51"/>
      <c r="C2672" s="51"/>
      <c r="D2672" s="51"/>
      <c r="F2672" s="51"/>
    </row>
    <row r="2673" spans="2:6">
      <c r="B2673" s="51"/>
      <c r="C2673" s="51"/>
      <c r="D2673" s="51"/>
      <c r="F2673" s="51"/>
    </row>
    <row r="2674" spans="2:6">
      <c r="B2674" s="51"/>
      <c r="C2674" s="51"/>
      <c r="D2674" s="51"/>
      <c r="F2674" s="51"/>
    </row>
    <row r="2675" spans="2:6">
      <c r="B2675" s="51"/>
      <c r="C2675" s="51"/>
      <c r="D2675" s="51"/>
      <c r="F2675" s="51"/>
    </row>
    <row r="2676" spans="2:6">
      <c r="B2676" s="51"/>
      <c r="C2676" s="51"/>
      <c r="D2676" s="51"/>
      <c r="F2676" s="51"/>
    </row>
    <row r="2677" spans="2:6">
      <c r="B2677" s="51"/>
      <c r="C2677" s="51"/>
      <c r="D2677" s="51"/>
      <c r="F2677" s="51"/>
    </row>
    <row r="2678" spans="2:6">
      <c r="B2678" s="51"/>
      <c r="C2678" s="51"/>
      <c r="D2678" s="51"/>
      <c r="F2678" s="51"/>
    </row>
    <row r="2679" spans="2:6">
      <c r="B2679" s="51"/>
      <c r="C2679" s="51"/>
      <c r="D2679" s="51"/>
      <c r="F2679" s="51"/>
    </row>
    <row r="2680" spans="2:6">
      <c r="B2680" s="51"/>
      <c r="C2680" s="51"/>
      <c r="D2680" s="51"/>
      <c r="F2680" s="51"/>
    </row>
    <row r="2681" spans="2:6">
      <c r="B2681" s="51"/>
      <c r="C2681" s="51"/>
      <c r="D2681" s="51"/>
      <c r="F2681" s="51"/>
    </row>
    <row r="2682" spans="2:6">
      <c r="B2682" s="51"/>
      <c r="C2682" s="51"/>
      <c r="D2682" s="51"/>
      <c r="F2682" s="51"/>
    </row>
    <row r="2683" spans="2:6">
      <c r="B2683" s="51"/>
      <c r="C2683" s="51"/>
      <c r="D2683" s="51"/>
      <c r="F2683" s="51"/>
    </row>
    <row r="2684" spans="2:6">
      <c r="B2684" s="51"/>
      <c r="C2684" s="51"/>
      <c r="D2684" s="51"/>
      <c r="F2684" s="51"/>
    </row>
    <row r="2685" spans="2:6">
      <c r="B2685" s="51"/>
      <c r="C2685" s="51"/>
      <c r="D2685" s="51"/>
      <c r="F2685" s="51"/>
    </row>
    <row r="2686" spans="2:6">
      <c r="B2686" s="51"/>
      <c r="C2686" s="51"/>
      <c r="D2686" s="51"/>
      <c r="F2686" s="51"/>
    </row>
    <row r="2687" spans="2:6">
      <c r="B2687" s="51"/>
      <c r="C2687" s="51"/>
      <c r="D2687" s="51"/>
      <c r="F2687" s="51"/>
    </row>
    <row r="2688" spans="2:6">
      <c r="B2688" s="51"/>
      <c r="C2688" s="51"/>
      <c r="D2688" s="51"/>
      <c r="F2688" s="51"/>
    </row>
    <row r="2689" spans="2:6">
      <c r="B2689" s="51"/>
      <c r="C2689" s="51"/>
      <c r="D2689" s="51"/>
      <c r="F2689" s="51"/>
    </row>
    <row r="2690" spans="2:6">
      <c r="B2690" s="51"/>
      <c r="C2690" s="51"/>
      <c r="D2690" s="51"/>
      <c r="F2690" s="51"/>
    </row>
    <row r="2691" spans="2:6">
      <c r="B2691" s="51"/>
      <c r="C2691" s="51"/>
      <c r="D2691" s="51"/>
      <c r="F2691" s="51"/>
    </row>
    <row r="2692" spans="2:6">
      <c r="B2692" s="51"/>
      <c r="C2692" s="51"/>
      <c r="D2692" s="51"/>
      <c r="F2692" s="51"/>
    </row>
    <row r="2693" spans="2:6">
      <c r="B2693" s="51"/>
      <c r="C2693" s="51"/>
      <c r="D2693" s="51"/>
      <c r="F2693" s="51"/>
    </row>
    <row r="2694" spans="2:6">
      <c r="B2694" s="51"/>
      <c r="C2694" s="51"/>
      <c r="D2694" s="51"/>
      <c r="F2694" s="51"/>
    </row>
    <row r="2695" spans="2:6">
      <c r="B2695" s="51"/>
      <c r="C2695" s="51"/>
      <c r="D2695" s="51"/>
      <c r="F2695" s="51"/>
    </row>
    <row r="2696" spans="2:6">
      <c r="B2696" s="51"/>
      <c r="C2696" s="51"/>
      <c r="D2696" s="51"/>
      <c r="F2696" s="51"/>
    </row>
    <row r="2697" spans="2:6">
      <c r="B2697" s="51"/>
      <c r="C2697" s="51"/>
      <c r="D2697" s="51"/>
      <c r="F2697" s="51"/>
    </row>
    <row r="2698" spans="2:6">
      <c r="B2698" s="51"/>
      <c r="C2698" s="51"/>
      <c r="D2698" s="51"/>
      <c r="F2698" s="51"/>
    </row>
    <row r="2699" spans="2:6">
      <c r="B2699" s="51"/>
      <c r="C2699" s="51"/>
      <c r="D2699" s="51"/>
      <c r="F2699" s="51"/>
    </row>
    <row r="2700" spans="2:6">
      <c r="B2700" s="51"/>
      <c r="C2700" s="51"/>
      <c r="D2700" s="51"/>
      <c r="F2700" s="51"/>
    </row>
    <row r="2701" spans="2:6">
      <c r="B2701" s="51"/>
      <c r="C2701" s="51"/>
      <c r="D2701" s="51"/>
      <c r="F2701" s="51"/>
    </row>
    <row r="2702" spans="2:6">
      <c r="B2702" s="51"/>
      <c r="C2702" s="51"/>
      <c r="D2702" s="51"/>
      <c r="F2702" s="51"/>
    </row>
    <row r="2703" spans="2:6">
      <c r="B2703" s="51"/>
      <c r="C2703" s="51"/>
      <c r="D2703" s="51"/>
      <c r="F2703" s="51"/>
    </row>
    <row r="2704" spans="2:6">
      <c r="B2704" s="51"/>
      <c r="C2704" s="51"/>
      <c r="D2704" s="51"/>
      <c r="F2704" s="51"/>
    </row>
    <row r="2705" spans="2:6">
      <c r="B2705" s="51"/>
      <c r="C2705" s="51"/>
      <c r="D2705" s="51"/>
      <c r="F2705" s="51"/>
    </row>
    <row r="2706" spans="2:6">
      <c r="B2706" s="51"/>
      <c r="C2706" s="51"/>
      <c r="D2706" s="51"/>
      <c r="F2706" s="51"/>
    </row>
    <row r="2707" spans="2:6">
      <c r="B2707" s="51"/>
      <c r="C2707" s="51"/>
      <c r="D2707" s="51"/>
      <c r="F2707" s="51"/>
    </row>
    <row r="2708" spans="2:6">
      <c r="B2708" s="51"/>
      <c r="C2708" s="51"/>
      <c r="D2708" s="51"/>
      <c r="F2708" s="51"/>
    </row>
    <row r="2709" spans="2:6">
      <c r="B2709" s="51"/>
      <c r="C2709" s="51"/>
      <c r="D2709" s="51"/>
      <c r="F2709" s="51"/>
    </row>
    <row r="2710" spans="2:6">
      <c r="B2710" s="51"/>
      <c r="C2710" s="51"/>
      <c r="D2710" s="51"/>
      <c r="F2710" s="51"/>
    </row>
    <row r="2711" spans="2:6">
      <c r="B2711" s="51"/>
      <c r="C2711" s="51"/>
      <c r="D2711" s="51"/>
      <c r="F2711" s="51"/>
    </row>
    <row r="2712" spans="2:6">
      <c r="B2712" s="51"/>
      <c r="C2712" s="51"/>
      <c r="D2712" s="51"/>
      <c r="F2712" s="51"/>
    </row>
    <row r="2713" spans="2:6">
      <c r="B2713" s="51"/>
      <c r="C2713" s="51"/>
      <c r="D2713" s="51"/>
      <c r="F2713" s="51"/>
    </row>
    <row r="2714" spans="2:6">
      <c r="B2714" s="51"/>
      <c r="C2714" s="51"/>
      <c r="D2714" s="51"/>
      <c r="F2714" s="51"/>
    </row>
    <row r="2715" spans="2:6">
      <c r="B2715" s="51"/>
      <c r="C2715" s="51"/>
      <c r="D2715" s="51"/>
      <c r="F2715" s="51"/>
    </row>
    <row r="2716" spans="2:6">
      <c r="B2716" s="51"/>
      <c r="C2716" s="51"/>
      <c r="D2716" s="51"/>
      <c r="F2716" s="51"/>
    </row>
    <row r="2717" spans="2:6">
      <c r="B2717" s="51"/>
      <c r="C2717" s="51"/>
      <c r="D2717" s="51"/>
      <c r="F2717" s="51"/>
    </row>
    <row r="2718" spans="2:6">
      <c r="B2718" s="51"/>
      <c r="C2718" s="51"/>
      <c r="D2718" s="51"/>
      <c r="F2718" s="51"/>
    </row>
    <row r="2719" spans="2:6">
      <c r="B2719" s="51"/>
      <c r="C2719" s="51"/>
      <c r="D2719" s="51"/>
      <c r="F2719" s="51"/>
    </row>
    <row r="2720" spans="2:6">
      <c r="B2720" s="51"/>
      <c r="C2720" s="51"/>
      <c r="D2720" s="51"/>
      <c r="F2720" s="51"/>
    </row>
    <row r="2721" spans="2:6">
      <c r="B2721" s="51"/>
      <c r="C2721" s="51"/>
      <c r="D2721" s="51"/>
      <c r="F2721" s="51"/>
    </row>
    <row r="2722" spans="2:6">
      <c r="B2722" s="51"/>
      <c r="C2722" s="51"/>
      <c r="D2722" s="51"/>
      <c r="F2722" s="51"/>
    </row>
    <row r="2723" spans="2:6">
      <c r="B2723" s="51"/>
      <c r="C2723" s="51"/>
      <c r="D2723" s="51"/>
      <c r="F2723" s="51"/>
    </row>
    <row r="2724" spans="2:6">
      <c r="B2724" s="51"/>
      <c r="C2724" s="51"/>
      <c r="D2724" s="51"/>
      <c r="F2724" s="51"/>
    </row>
    <row r="2725" spans="2:6">
      <c r="B2725" s="51"/>
      <c r="C2725" s="51"/>
      <c r="D2725" s="51"/>
      <c r="F2725" s="51"/>
    </row>
    <row r="2726" spans="2:6">
      <c r="B2726" s="51"/>
      <c r="C2726" s="51"/>
      <c r="D2726" s="51"/>
      <c r="F2726" s="51"/>
    </row>
    <row r="2727" spans="2:6">
      <c r="B2727" s="51"/>
      <c r="C2727" s="51"/>
      <c r="D2727" s="51"/>
      <c r="F2727" s="51"/>
    </row>
    <row r="2728" spans="2:6">
      <c r="B2728" s="51"/>
      <c r="C2728" s="51"/>
      <c r="D2728" s="51"/>
      <c r="F2728" s="51"/>
    </row>
    <row r="2729" spans="2:6">
      <c r="B2729" s="51"/>
      <c r="C2729" s="51"/>
      <c r="D2729" s="51"/>
      <c r="F2729" s="51"/>
    </row>
    <row r="2730" spans="2:6">
      <c r="B2730" s="51"/>
      <c r="C2730" s="51"/>
      <c r="D2730" s="51"/>
      <c r="F2730" s="51"/>
    </row>
    <row r="2731" spans="2:6">
      <c r="B2731" s="51"/>
      <c r="C2731" s="51"/>
      <c r="D2731" s="51"/>
      <c r="F2731" s="51"/>
    </row>
    <row r="2732" spans="2:6">
      <c r="B2732" s="51"/>
      <c r="C2732" s="51"/>
      <c r="D2732" s="51"/>
      <c r="F2732" s="51"/>
    </row>
    <row r="2733" spans="2:6">
      <c r="B2733" s="51"/>
      <c r="C2733" s="51"/>
      <c r="D2733" s="51"/>
      <c r="F2733" s="51"/>
    </row>
    <row r="2734" spans="2:6">
      <c r="B2734" s="51"/>
      <c r="C2734" s="51"/>
      <c r="D2734" s="51"/>
      <c r="F2734" s="51"/>
    </row>
    <row r="2735" spans="2:6">
      <c r="B2735" s="51"/>
      <c r="C2735" s="51"/>
      <c r="D2735" s="51"/>
      <c r="F2735" s="51"/>
    </row>
    <row r="2736" spans="2:6">
      <c r="B2736" s="51"/>
      <c r="C2736" s="51"/>
      <c r="D2736" s="51"/>
      <c r="F2736" s="51"/>
    </row>
    <row r="2737" spans="2:6">
      <c r="B2737" s="51"/>
      <c r="C2737" s="51"/>
      <c r="D2737" s="51"/>
      <c r="F2737" s="51"/>
    </row>
    <row r="2738" spans="2:6">
      <c r="B2738" s="51"/>
      <c r="C2738" s="51"/>
      <c r="D2738" s="51"/>
      <c r="F2738" s="51"/>
    </row>
    <row r="2739" spans="2:6">
      <c r="B2739" s="51"/>
      <c r="C2739" s="51"/>
      <c r="D2739" s="51"/>
      <c r="F2739" s="51"/>
    </row>
    <row r="2740" spans="2:6">
      <c r="B2740" s="51"/>
      <c r="C2740" s="51"/>
      <c r="D2740" s="51"/>
      <c r="F2740" s="51"/>
    </row>
    <row r="2741" spans="2:6">
      <c r="B2741" s="51"/>
      <c r="C2741" s="51"/>
      <c r="D2741" s="51"/>
      <c r="F2741" s="51"/>
    </row>
    <row r="2742" spans="2:6">
      <c r="B2742" s="51"/>
      <c r="C2742" s="51"/>
      <c r="D2742" s="51"/>
      <c r="F2742" s="51"/>
    </row>
    <row r="2743" spans="2:6">
      <c r="B2743" s="51"/>
      <c r="C2743" s="51"/>
      <c r="D2743" s="51"/>
      <c r="F2743" s="51"/>
    </row>
    <row r="2744" spans="2:6">
      <c r="B2744" s="51"/>
      <c r="C2744" s="51"/>
      <c r="D2744" s="51"/>
      <c r="F2744" s="51"/>
    </row>
    <row r="2745" spans="2:6">
      <c r="B2745" s="51"/>
      <c r="C2745" s="51"/>
      <c r="D2745" s="51"/>
      <c r="F2745" s="51"/>
    </row>
    <row r="2746" spans="2:6">
      <c r="B2746" s="51"/>
      <c r="C2746" s="51"/>
      <c r="D2746" s="51"/>
      <c r="F2746" s="51"/>
    </row>
    <row r="2747" spans="2:6">
      <c r="B2747" s="51"/>
      <c r="C2747" s="51"/>
      <c r="D2747" s="51"/>
      <c r="F2747" s="51"/>
    </row>
    <row r="2748" spans="2:6">
      <c r="B2748" s="51"/>
      <c r="C2748" s="51"/>
      <c r="D2748" s="51"/>
      <c r="F2748" s="51"/>
    </row>
    <row r="2749" spans="2:6">
      <c r="B2749" s="51"/>
      <c r="C2749" s="51"/>
      <c r="D2749" s="51"/>
      <c r="F2749" s="51"/>
    </row>
    <row r="2750" spans="2:6">
      <c r="B2750" s="51"/>
      <c r="C2750" s="51"/>
      <c r="D2750" s="51"/>
      <c r="F2750" s="51"/>
    </row>
    <row r="2751" spans="2:6">
      <c r="B2751" s="51"/>
      <c r="C2751" s="51"/>
      <c r="D2751" s="51"/>
      <c r="F2751" s="51"/>
    </row>
    <row r="2752" spans="2:6">
      <c r="B2752" s="51"/>
      <c r="C2752" s="51"/>
      <c r="D2752" s="51"/>
      <c r="F2752" s="51"/>
    </row>
    <row r="2753" spans="2:6">
      <c r="B2753" s="51"/>
      <c r="C2753" s="51"/>
      <c r="D2753" s="51"/>
      <c r="F2753" s="51"/>
    </row>
    <row r="2754" spans="2:6">
      <c r="B2754" s="51"/>
      <c r="C2754" s="51"/>
      <c r="D2754" s="51"/>
      <c r="F2754" s="51"/>
    </row>
    <row r="2755" spans="2:6">
      <c r="B2755" s="51"/>
      <c r="C2755" s="51"/>
      <c r="D2755" s="51"/>
      <c r="F2755" s="51"/>
    </row>
    <row r="2756" spans="2:6">
      <c r="B2756" s="51"/>
      <c r="C2756" s="51"/>
      <c r="D2756" s="51"/>
      <c r="F2756" s="51"/>
    </row>
    <row r="2757" spans="2:6">
      <c r="B2757" s="51"/>
      <c r="C2757" s="51"/>
      <c r="D2757" s="51"/>
      <c r="F2757" s="51"/>
    </row>
    <row r="2758" spans="2:6">
      <c r="B2758" s="51"/>
      <c r="C2758" s="51"/>
      <c r="D2758" s="51"/>
      <c r="F2758" s="51"/>
    </row>
    <row r="2759" spans="2:6">
      <c r="B2759" s="51"/>
      <c r="C2759" s="51"/>
      <c r="D2759" s="51"/>
      <c r="F2759" s="51"/>
    </row>
    <row r="2760" spans="2:6">
      <c r="B2760" s="51"/>
      <c r="C2760" s="51"/>
      <c r="D2760" s="51"/>
      <c r="F2760" s="51"/>
    </row>
    <row r="2761" spans="2:6">
      <c r="B2761" s="51"/>
      <c r="C2761" s="51"/>
      <c r="D2761" s="51"/>
      <c r="F2761" s="51"/>
    </row>
    <row r="2762" spans="2:6">
      <c r="B2762" s="51"/>
      <c r="C2762" s="51"/>
      <c r="D2762" s="51"/>
      <c r="F2762" s="51"/>
    </row>
    <row r="2763" spans="2:6">
      <c r="B2763" s="51"/>
      <c r="C2763" s="51"/>
      <c r="D2763" s="51"/>
      <c r="F2763" s="51"/>
    </row>
    <row r="2764" spans="2:6">
      <c r="B2764" s="51"/>
      <c r="C2764" s="51"/>
      <c r="D2764" s="51"/>
      <c r="F2764" s="51"/>
    </row>
    <row r="2765" spans="2:6">
      <c r="B2765" s="51"/>
      <c r="C2765" s="51"/>
      <c r="D2765" s="51"/>
      <c r="F2765" s="51"/>
    </row>
    <row r="2766" spans="2:6">
      <c r="B2766" s="51"/>
      <c r="C2766" s="51"/>
      <c r="D2766" s="51"/>
      <c r="F2766" s="51"/>
    </row>
    <row r="2767" spans="2:6">
      <c r="B2767" s="51"/>
      <c r="C2767" s="51"/>
      <c r="D2767" s="51"/>
      <c r="F2767" s="51"/>
    </row>
    <row r="2768" spans="2:6">
      <c r="B2768" s="51"/>
      <c r="C2768" s="51"/>
      <c r="D2768" s="51"/>
      <c r="F2768" s="51"/>
    </row>
    <row r="2769" spans="2:6">
      <c r="B2769" s="51"/>
      <c r="C2769" s="51"/>
      <c r="D2769" s="51"/>
      <c r="F2769" s="51"/>
    </row>
    <row r="2770" spans="2:6">
      <c r="B2770" s="51"/>
      <c r="C2770" s="51"/>
      <c r="D2770" s="51"/>
      <c r="F2770" s="51"/>
    </row>
    <row r="2771" spans="2:6">
      <c r="B2771" s="51"/>
      <c r="C2771" s="51"/>
      <c r="D2771" s="51"/>
      <c r="F2771" s="51"/>
    </row>
    <row r="2772" spans="2:6">
      <c r="B2772" s="51"/>
      <c r="C2772" s="51"/>
      <c r="D2772" s="51"/>
      <c r="F2772" s="51"/>
    </row>
    <row r="2773" spans="2:6">
      <c r="B2773" s="51"/>
      <c r="C2773" s="51"/>
      <c r="D2773" s="51"/>
      <c r="F2773" s="51"/>
    </row>
    <row r="2774" spans="2:6">
      <c r="B2774" s="51"/>
      <c r="C2774" s="51"/>
      <c r="D2774" s="51"/>
      <c r="F2774" s="51"/>
    </row>
    <row r="2775" spans="2:6">
      <c r="B2775" s="51"/>
      <c r="C2775" s="51"/>
      <c r="D2775" s="51"/>
      <c r="F2775" s="51"/>
    </row>
    <row r="2776" spans="2:6">
      <c r="B2776" s="51"/>
      <c r="C2776" s="51"/>
      <c r="D2776" s="51"/>
      <c r="F2776" s="51"/>
    </row>
    <row r="2777" spans="2:6">
      <c r="B2777" s="51"/>
      <c r="C2777" s="51"/>
      <c r="D2777" s="51"/>
      <c r="F2777" s="51"/>
    </row>
    <row r="2778" spans="2:6">
      <c r="B2778" s="51"/>
      <c r="C2778" s="51"/>
      <c r="D2778" s="51"/>
      <c r="F2778" s="51"/>
    </row>
    <row r="2779" spans="2:6">
      <c r="B2779" s="51"/>
      <c r="C2779" s="51"/>
      <c r="D2779" s="51"/>
      <c r="F2779" s="51"/>
    </row>
    <row r="2780" spans="2:6">
      <c r="B2780" s="51"/>
      <c r="C2780" s="51"/>
      <c r="D2780" s="51"/>
      <c r="F2780" s="51"/>
    </row>
    <row r="2781" spans="2:6">
      <c r="B2781" s="51"/>
      <c r="C2781" s="51"/>
      <c r="D2781" s="51"/>
      <c r="F2781" s="51"/>
    </row>
    <row r="2782" spans="2:6">
      <c r="B2782" s="51"/>
      <c r="C2782" s="51"/>
      <c r="D2782" s="51"/>
      <c r="F2782" s="51"/>
    </row>
    <row r="2783" spans="2:6">
      <c r="B2783" s="51"/>
      <c r="C2783" s="51"/>
      <c r="D2783" s="51"/>
      <c r="F2783" s="51"/>
    </row>
    <row r="2784" spans="2:6">
      <c r="B2784" s="51"/>
      <c r="C2784" s="51"/>
      <c r="D2784" s="51"/>
      <c r="F2784" s="51"/>
    </row>
    <row r="2785" spans="2:6">
      <c r="B2785" s="51"/>
      <c r="C2785" s="51"/>
      <c r="D2785" s="51"/>
      <c r="F2785" s="51"/>
    </row>
    <row r="2786" spans="2:6">
      <c r="B2786" s="51"/>
      <c r="C2786" s="51"/>
      <c r="D2786" s="51"/>
      <c r="F2786" s="51"/>
    </row>
    <row r="2787" spans="2:6">
      <c r="B2787" s="51"/>
      <c r="C2787" s="51"/>
      <c r="D2787" s="51"/>
      <c r="F2787" s="51"/>
    </row>
    <row r="2788" spans="2:6">
      <c r="B2788" s="51"/>
      <c r="C2788" s="51"/>
      <c r="D2788" s="51"/>
      <c r="F2788" s="51"/>
    </row>
    <row r="2789" spans="2:6">
      <c r="B2789" s="51"/>
      <c r="C2789" s="51"/>
      <c r="D2789" s="51"/>
      <c r="F2789" s="51"/>
    </row>
    <row r="2790" spans="2:6">
      <c r="B2790" s="51"/>
      <c r="C2790" s="51"/>
      <c r="D2790" s="51"/>
      <c r="F2790" s="51"/>
    </row>
    <row r="2791" spans="2:6">
      <c r="B2791" s="51"/>
      <c r="C2791" s="51"/>
      <c r="D2791" s="51"/>
      <c r="F2791" s="51"/>
    </row>
    <row r="2792" spans="2:6">
      <c r="B2792" s="51"/>
      <c r="C2792" s="51"/>
      <c r="D2792" s="51"/>
    </row>
    <row r="2793" spans="2:6">
      <c r="B2793" s="51"/>
      <c r="C2793" s="51"/>
      <c r="D2793" s="51"/>
    </row>
    <row r="2794" spans="2:6">
      <c r="B2794" s="51"/>
      <c r="C2794" s="51"/>
      <c r="D2794" s="51"/>
    </row>
    <row r="2795" spans="2:6">
      <c r="B2795" s="51"/>
      <c r="C2795" s="51"/>
      <c r="D2795" s="51"/>
    </row>
    <row r="2796" spans="2:6">
      <c r="B2796" s="51"/>
      <c r="C2796" s="51"/>
      <c r="D2796" s="51"/>
    </row>
    <row r="2797" spans="2:6">
      <c r="B2797" s="51"/>
      <c r="C2797" s="51"/>
      <c r="D2797" s="51"/>
    </row>
    <row r="2798" spans="2:6">
      <c r="B2798" s="51"/>
      <c r="C2798" s="51"/>
      <c r="D2798" s="51"/>
    </row>
    <row r="2799" spans="2:6">
      <c r="B2799" s="51"/>
      <c r="C2799" s="51"/>
      <c r="D2799" s="51"/>
    </row>
    <row r="2800" spans="2:6">
      <c r="B2800" s="51"/>
      <c r="C2800" s="51"/>
      <c r="D2800" s="51"/>
    </row>
    <row r="2801" spans="2:4">
      <c r="B2801" s="51"/>
      <c r="C2801" s="51"/>
      <c r="D2801" s="51"/>
    </row>
    <row r="2802" spans="2:4">
      <c r="B2802" s="51"/>
      <c r="C2802" s="51"/>
      <c r="D2802" s="51"/>
    </row>
    <row r="2803" spans="2:4">
      <c r="B2803" s="51"/>
      <c r="C2803" s="51"/>
      <c r="D2803" s="51"/>
    </row>
    <row r="2804" spans="2:4">
      <c r="B2804" s="51"/>
      <c r="C2804" s="51"/>
      <c r="D2804" s="51"/>
    </row>
    <row r="2805" spans="2:4">
      <c r="B2805" s="51"/>
      <c r="C2805" s="51"/>
      <c r="D2805" s="51"/>
    </row>
    <row r="2806" spans="2:4">
      <c r="B2806" s="51"/>
      <c r="C2806" s="51"/>
      <c r="D2806" s="51"/>
    </row>
    <row r="2807" spans="2:4">
      <c r="B2807" s="51"/>
      <c r="C2807" s="51"/>
      <c r="D2807" s="51"/>
    </row>
    <row r="2808" spans="2:4">
      <c r="B2808" s="51"/>
      <c r="C2808" s="51"/>
      <c r="D2808" s="51"/>
    </row>
    <row r="2809" spans="2:4">
      <c r="B2809" s="51"/>
      <c r="C2809" s="51"/>
      <c r="D2809" s="51"/>
    </row>
    <row r="2810" spans="2:4">
      <c r="B2810" s="51"/>
      <c r="C2810" s="51"/>
      <c r="D2810" s="51"/>
    </row>
    <row r="2811" spans="2:4">
      <c r="B2811" s="51"/>
      <c r="C2811" s="51"/>
      <c r="D2811" s="51"/>
    </row>
    <row r="2812" spans="2:4">
      <c r="B2812" s="51"/>
      <c r="C2812" s="51"/>
      <c r="D2812" s="51"/>
    </row>
    <row r="2813" spans="2:4">
      <c r="B2813" s="51"/>
      <c r="C2813" s="51"/>
      <c r="D2813" s="51"/>
    </row>
    <row r="2814" spans="2:4">
      <c r="B2814" s="51"/>
      <c r="C2814" s="51"/>
      <c r="D2814" s="51"/>
    </row>
    <row r="2815" spans="2:4">
      <c r="B2815" s="51"/>
      <c r="C2815" s="51"/>
      <c r="D2815" s="51"/>
    </row>
    <row r="2816" spans="2:4">
      <c r="B2816" s="51"/>
      <c r="C2816" s="51"/>
      <c r="D2816" s="51"/>
    </row>
    <row r="2817" spans="2:4">
      <c r="B2817" s="51"/>
      <c r="C2817" s="51"/>
      <c r="D2817" s="51"/>
    </row>
    <row r="2818" spans="2:4">
      <c r="B2818" s="51"/>
      <c r="C2818" s="51"/>
      <c r="D2818" s="51"/>
    </row>
    <row r="2819" spans="2:4">
      <c r="B2819" s="51"/>
      <c r="C2819" s="51"/>
      <c r="D2819" s="51"/>
    </row>
    <row r="2820" spans="2:4">
      <c r="B2820" s="51"/>
      <c r="C2820" s="51"/>
      <c r="D2820" s="51"/>
    </row>
    <row r="2821" spans="2:4">
      <c r="B2821" s="51"/>
      <c r="C2821" s="51"/>
      <c r="D2821" s="51"/>
    </row>
    <row r="2822" spans="2:4">
      <c r="B2822" s="51"/>
      <c r="C2822" s="51"/>
      <c r="D2822" s="51"/>
    </row>
    <row r="2823" spans="2:4">
      <c r="B2823" s="51"/>
      <c r="C2823" s="51"/>
      <c r="D2823" s="51"/>
    </row>
    <row r="2824" spans="2:4">
      <c r="B2824" s="51"/>
      <c r="C2824" s="51"/>
      <c r="D2824" s="51"/>
    </row>
    <row r="2825" spans="2:4">
      <c r="B2825" s="51"/>
      <c r="C2825" s="51"/>
      <c r="D2825" s="51"/>
    </row>
    <row r="2826" spans="2:4">
      <c r="B2826" s="51"/>
      <c r="C2826" s="51"/>
      <c r="D2826" s="51"/>
    </row>
    <row r="2827" spans="2:4">
      <c r="B2827" s="51"/>
      <c r="C2827" s="51"/>
      <c r="D2827" s="51"/>
    </row>
    <row r="2828" spans="2:4">
      <c r="B2828" s="51"/>
      <c r="C2828" s="51"/>
      <c r="D2828" s="51"/>
    </row>
    <row r="2829" spans="2:4">
      <c r="B2829" s="51"/>
      <c r="C2829" s="51"/>
      <c r="D2829" s="51"/>
    </row>
    <row r="2830" spans="2:4">
      <c r="B2830" s="51"/>
      <c r="C2830" s="51"/>
      <c r="D2830" s="51"/>
    </row>
    <row r="2831" spans="2:4">
      <c r="B2831" s="51"/>
      <c r="C2831" s="51"/>
      <c r="D2831" s="51"/>
    </row>
    <row r="2832" spans="2:4">
      <c r="B2832" s="51"/>
      <c r="C2832" s="51"/>
      <c r="D2832" s="51"/>
    </row>
    <row r="2833" spans="2:4">
      <c r="B2833" s="51"/>
      <c r="C2833" s="51"/>
      <c r="D2833" s="51"/>
    </row>
    <row r="2834" spans="2:4">
      <c r="B2834" s="51"/>
      <c r="C2834" s="51"/>
      <c r="D2834" s="51"/>
    </row>
    <row r="2835" spans="2:4">
      <c r="B2835" s="51"/>
      <c r="C2835" s="51"/>
      <c r="D2835" s="51"/>
    </row>
    <row r="2836" spans="2:4">
      <c r="B2836" s="51"/>
      <c r="C2836" s="51"/>
      <c r="D2836" s="51"/>
    </row>
    <row r="2837" spans="2:4">
      <c r="B2837" s="51"/>
      <c r="C2837" s="51"/>
      <c r="D2837" s="51"/>
    </row>
    <row r="2838" spans="2:4">
      <c r="B2838" s="51"/>
      <c r="C2838" s="51"/>
      <c r="D2838" s="51"/>
    </row>
    <row r="2839" spans="2:4">
      <c r="B2839" s="51"/>
      <c r="C2839" s="51"/>
      <c r="D2839" s="51"/>
    </row>
    <row r="2840" spans="2:4">
      <c r="B2840" s="51"/>
      <c r="C2840" s="51"/>
      <c r="D2840" s="51"/>
    </row>
    <row r="2841" spans="2:4">
      <c r="B2841" s="51"/>
      <c r="C2841" s="51"/>
      <c r="D2841" s="51"/>
    </row>
    <row r="2842" spans="2:4">
      <c r="B2842" s="51"/>
      <c r="C2842" s="51"/>
      <c r="D2842" s="51"/>
    </row>
    <row r="2843" spans="2:4">
      <c r="B2843" s="51"/>
      <c r="C2843" s="51"/>
      <c r="D2843" s="51"/>
    </row>
    <row r="2844" spans="2:4">
      <c r="B2844" s="51"/>
      <c r="C2844" s="51"/>
      <c r="D2844" s="51"/>
    </row>
    <row r="2845" spans="2:4">
      <c r="B2845" s="51"/>
      <c r="C2845" s="51"/>
      <c r="D2845" s="51"/>
    </row>
    <row r="2846" spans="2:4">
      <c r="B2846" s="51"/>
      <c r="C2846" s="51"/>
      <c r="D2846" s="51"/>
    </row>
    <row r="2847" spans="2:4">
      <c r="B2847" s="51"/>
      <c r="C2847" s="51"/>
      <c r="D2847" s="51"/>
    </row>
    <row r="2848" spans="2:4">
      <c r="B2848" s="51"/>
      <c r="C2848" s="51"/>
      <c r="D2848" s="51"/>
    </row>
    <row r="2849" spans="2:4">
      <c r="B2849" s="51"/>
      <c r="C2849" s="51"/>
      <c r="D2849" s="51"/>
    </row>
    <row r="2850" spans="2:4">
      <c r="B2850" s="51"/>
      <c r="C2850" s="51"/>
      <c r="D2850" s="51"/>
    </row>
    <row r="2851" spans="2:4">
      <c r="B2851" s="51"/>
      <c r="C2851" s="51"/>
      <c r="D2851" s="51"/>
    </row>
    <row r="2852" spans="2:4">
      <c r="B2852" s="51"/>
      <c r="C2852" s="51"/>
      <c r="D2852" s="51"/>
    </row>
    <row r="2853" spans="2:4">
      <c r="B2853" s="51"/>
      <c r="C2853" s="51"/>
      <c r="D2853" s="51"/>
    </row>
    <row r="2854" spans="2:4">
      <c r="B2854" s="51"/>
      <c r="C2854" s="51"/>
      <c r="D2854" s="51"/>
    </row>
    <row r="2855" spans="2:4">
      <c r="B2855" s="51"/>
      <c r="C2855" s="51"/>
      <c r="D2855" s="51"/>
    </row>
    <row r="2856" spans="2:4">
      <c r="B2856" s="51"/>
      <c r="C2856" s="51"/>
      <c r="D2856" s="51"/>
    </row>
    <row r="2857" spans="2:4">
      <c r="B2857" s="51"/>
      <c r="C2857" s="51"/>
      <c r="D2857" s="51"/>
    </row>
    <row r="2858" spans="2:4">
      <c r="B2858" s="51"/>
      <c r="C2858" s="51"/>
      <c r="D2858" s="51"/>
    </row>
    <row r="2859" spans="2:4">
      <c r="B2859" s="51"/>
      <c r="C2859" s="51"/>
      <c r="D2859" s="51"/>
    </row>
    <row r="2860" spans="2:4">
      <c r="B2860" s="51"/>
      <c r="C2860" s="51"/>
      <c r="D2860" s="51"/>
    </row>
    <row r="2861" spans="2:4">
      <c r="B2861" s="51"/>
      <c r="C2861" s="51"/>
      <c r="D2861" s="51"/>
    </row>
    <row r="2862" spans="2:4">
      <c r="B2862" s="51"/>
      <c r="C2862" s="51"/>
      <c r="D2862" s="51"/>
    </row>
    <row r="2863" spans="2:4">
      <c r="B2863" s="51"/>
      <c r="C2863" s="51"/>
      <c r="D2863" s="51"/>
    </row>
    <row r="2864" spans="2:4">
      <c r="B2864" s="51"/>
      <c r="C2864" s="51"/>
      <c r="D2864" s="51"/>
    </row>
    <row r="2865" spans="2:4">
      <c r="B2865" s="51"/>
      <c r="C2865" s="51"/>
      <c r="D2865" s="51"/>
    </row>
    <row r="2866" spans="2:4">
      <c r="B2866" s="51"/>
      <c r="C2866" s="51"/>
      <c r="D2866" s="51"/>
    </row>
    <row r="2867" spans="2:4">
      <c r="B2867" s="51"/>
      <c r="C2867" s="51"/>
      <c r="D2867" s="51"/>
    </row>
    <row r="2868" spans="2:4">
      <c r="B2868" s="51"/>
      <c r="C2868" s="51"/>
      <c r="D2868" s="51"/>
    </row>
    <row r="2869" spans="2:4">
      <c r="B2869" s="51"/>
      <c r="C2869" s="51"/>
      <c r="D2869" s="51"/>
    </row>
    <row r="2870" spans="2:4">
      <c r="B2870" s="51"/>
      <c r="C2870" s="51"/>
      <c r="D2870" s="51"/>
    </row>
    <row r="2871" spans="2:4">
      <c r="B2871" s="51"/>
      <c r="C2871" s="51"/>
      <c r="D2871" s="51"/>
    </row>
    <row r="2872" spans="2:4">
      <c r="B2872" s="51"/>
      <c r="C2872" s="51"/>
      <c r="D2872" s="51"/>
    </row>
    <row r="2873" spans="2:4">
      <c r="B2873" s="51"/>
      <c r="C2873" s="51"/>
      <c r="D2873" s="51"/>
    </row>
    <row r="2874" spans="2:4">
      <c r="B2874" s="51"/>
      <c r="C2874" s="51"/>
      <c r="D2874" s="51"/>
    </row>
    <row r="2875" spans="2:4">
      <c r="B2875" s="51"/>
      <c r="C2875" s="51"/>
      <c r="D2875" s="51"/>
    </row>
    <row r="2876" spans="2:4">
      <c r="B2876" s="51"/>
      <c r="C2876" s="51"/>
      <c r="D2876" s="51"/>
    </row>
    <row r="2877" spans="2:4">
      <c r="B2877" s="51"/>
      <c r="C2877" s="51"/>
      <c r="D2877" s="51"/>
    </row>
    <row r="2878" spans="2:4">
      <c r="B2878" s="51"/>
      <c r="C2878" s="51"/>
      <c r="D2878" s="51"/>
    </row>
    <row r="2879" spans="2:4">
      <c r="B2879" s="51"/>
      <c r="C2879" s="51"/>
      <c r="D2879" s="51"/>
    </row>
    <row r="2880" spans="2:4">
      <c r="B2880" s="51"/>
      <c r="C2880" s="51"/>
      <c r="D2880" s="51"/>
    </row>
    <row r="2881" spans="2:4">
      <c r="B2881" s="51"/>
      <c r="C2881" s="51"/>
      <c r="D2881" s="51"/>
    </row>
    <row r="2882" spans="2:4">
      <c r="B2882" s="51"/>
      <c r="C2882" s="51"/>
      <c r="D2882" s="51"/>
    </row>
    <row r="2883" spans="2:4">
      <c r="B2883" s="51"/>
      <c r="C2883" s="51"/>
      <c r="D2883" s="51"/>
    </row>
    <row r="2884" spans="2:4">
      <c r="B2884" s="51"/>
      <c r="C2884" s="51"/>
      <c r="D2884" s="51"/>
    </row>
    <row r="2885" spans="2:4">
      <c r="B2885" s="51"/>
      <c r="C2885" s="51"/>
      <c r="D2885" s="51"/>
    </row>
    <row r="2886" spans="2:4">
      <c r="B2886" s="51"/>
      <c r="C2886" s="51"/>
      <c r="D2886" s="51"/>
    </row>
    <row r="2887" spans="2:4">
      <c r="B2887" s="51"/>
      <c r="C2887" s="51"/>
      <c r="D2887" s="51"/>
    </row>
    <row r="2888" spans="2:4">
      <c r="B2888" s="51"/>
      <c r="C2888" s="51"/>
      <c r="D2888" s="51"/>
    </row>
    <row r="2889" spans="2:4">
      <c r="B2889" s="51"/>
      <c r="C2889" s="51"/>
      <c r="D2889" s="51"/>
    </row>
    <row r="2890" spans="2:4">
      <c r="B2890" s="51"/>
      <c r="C2890" s="51"/>
      <c r="D2890" s="51"/>
    </row>
    <row r="2891" spans="2:4">
      <c r="B2891" s="51"/>
      <c r="C2891" s="51"/>
      <c r="D2891" s="51"/>
    </row>
    <row r="2892" spans="2:4">
      <c r="B2892" s="51"/>
      <c r="C2892" s="51"/>
      <c r="D2892" s="51"/>
    </row>
    <row r="2893" spans="2:4">
      <c r="B2893" s="51"/>
      <c r="C2893" s="51"/>
      <c r="D2893" s="51"/>
    </row>
    <row r="2894" spans="2:4">
      <c r="B2894" s="51"/>
      <c r="C2894" s="51"/>
      <c r="D2894" s="51"/>
    </row>
    <row r="2895" spans="2:4">
      <c r="B2895" s="51"/>
      <c r="C2895" s="51"/>
      <c r="D2895" s="51"/>
    </row>
    <row r="2896" spans="2:4">
      <c r="B2896" s="51"/>
      <c r="C2896" s="51"/>
      <c r="D2896" s="51"/>
    </row>
    <row r="2897" spans="2:4">
      <c r="B2897" s="51"/>
      <c r="C2897" s="51"/>
      <c r="D2897" s="51"/>
    </row>
    <row r="2898" spans="2:4">
      <c r="B2898" s="51"/>
      <c r="C2898" s="51"/>
      <c r="D2898" s="51"/>
    </row>
    <row r="2899" spans="2:4">
      <c r="B2899" s="51"/>
      <c r="C2899" s="51"/>
      <c r="D2899" s="51"/>
    </row>
    <row r="2900" spans="2:4">
      <c r="B2900" s="51"/>
      <c r="C2900" s="51"/>
      <c r="D2900" s="51"/>
    </row>
    <row r="2901" spans="2:4">
      <c r="B2901" s="51"/>
      <c r="C2901" s="51"/>
      <c r="D2901" s="51"/>
    </row>
    <row r="2902" spans="2:4">
      <c r="B2902" s="51"/>
      <c r="C2902" s="51"/>
      <c r="D2902" s="51"/>
    </row>
    <row r="2903" spans="2:4">
      <c r="B2903" s="51"/>
      <c r="C2903" s="51"/>
      <c r="D2903" s="51"/>
    </row>
    <row r="2904" spans="2:4">
      <c r="B2904" s="51"/>
      <c r="C2904" s="51"/>
      <c r="D2904" s="51"/>
    </row>
    <row r="2905" spans="2:4">
      <c r="B2905" s="51"/>
      <c r="C2905" s="51"/>
      <c r="D2905" s="51"/>
    </row>
    <row r="2906" spans="2:4">
      <c r="B2906" s="51"/>
      <c r="C2906" s="51"/>
      <c r="D2906" s="51"/>
    </row>
    <row r="2907" spans="2:4">
      <c r="B2907" s="51"/>
      <c r="C2907" s="51"/>
      <c r="D2907" s="51"/>
    </row>
    <row r="2908" spans="2:4">
      <c r="B2908" s="51"/>
      <c r="C2908" s="51"/>
      <c r="D2908" s="51"/>
    </row>
    <row r="2909" spans="2:4">
      <c r="B2909" s="51"/>
      <c r="C2909" s="51"/>
      <c r="D2909" s="51"/>
    </row>
    <row r="2910" spans="2:4">
      <c r="B2910" s="51"/>
      <c r="C2910" s="51"/>
      <c r="D2910" s="51"/>
    </row>
    <row r="2911" spans="2:4">
      <c r="B2911" s="51"/>
      <c r="C2911" s="51"/>
      <c r="D2911" s="51"/>
    </row>
    <row r="2912" spans="2:4">
      <c r="B2912" s="51"/>
      <c r="C2912" s="51"/>
      <c r="D2912" s="51"/>
    </row>
    <row r="2913" spans="2:4">
      <c r="B2913" s="51"/>
      <c r="C2913" s="51"/>
      <c r="D2913" s="51"/>
    </row>
    <row r="2914" spans="2:4">
      <c r="B2914" s="51"/>
      <c r="C2914" s="51"/>
      <c r="D2914" s="51"/>
    </row>
    <row r="2915" spans="2:4">
      <c r="B2915" s="51"/>
      <c r="C2915" s="51"/>
      <c r="D2915" s="51"/>
    </row>
    <row r="2916" spans="2:4">
      <c r="B2916" s="51"/>
      <c r="C2916" s="51"/>
      <c r="D2916" s="51"/>
    </row>
    <row r="2917" spans="2:4">
      <c r="B2917" s="51"/>
      <c r="C2917" s="51"/>
      <c r="D2917" s="51"/>
    </row>
    <row r="2918" spans="2:4">
      <c r="B2918" s="51"/>
      <c r="C2918" s="51"/>
      <c r="D2918" s="51"/>
    </row>
    <row r="2919" spans="2:4">
      <c r="B2919" s="51"/>
      <c r="C2919" s="51"/>
      <c r="D2919" s="51"/>
    </row>
    <row r="2920" spans="2:4">
      <c r="B2920" s="51"/>
      <c r="C2920" s="51"/>
      <c r="D2920" s="51"/>
    </row>
    <row r="2921" spans="2:4">
      <c r="B2921" s="51"/>
      <c r="C2921" s="51"/>
      <c r="D2921" s="51"/>
    </row>
    <row r="2922" spans="2:4">
      <c r="B2922" s="51"/>
      <c r="C2922" s="51"/>
      <c r="D2922" s="51"/>
    </row>
    <row r="2923" spans="2:4">
      <c r="B2923" s="51"/>
      <c r="C2923" s="51"/>
      <c r="D2923" s="51"/>
    </row>
    <row r="2924" spans="2:4">
      <c r="B2924" s="51"/>
      <c r="C2924" s="51"/>
      <c r="D2924" s="51"/>
    </row>
    <row r="2925" spans="2:4">
      <c r="B2925" s="51"/>
      <c r="C2925" s="51"/>
      <c r="D2925" s="51"/>
    </row>
    <row r="2926" spans="2:4">
      <c r="B2926" s="51"/>
      <c r="C2926" s="51"/>
      <c r="D2926" s="51"/>
    </row>
    <row r="2927" spans="2:4">
      <c r="B2927" s="51"/>
      <c r="C2927" s="51"/>
      <c r="D2927" s="51"/>
    </row>
    <row r="2928" spans="2:4">
      <c r="B2928" s="51"/>
      <c r="C2928" s="51"/>
      <c r="D2928" s="51"/>
    </row>
    <row r="2929" spans="2:4">
      <c r="B2929" s="51"/>
      <c r="C2929" s="51"/>
      <c r="D2929" s="51"/>
    </row>
    <row r="2930" spans="2:4">
      <c r="B2930" s="51"/>
      <c r="C2930" s="51"/>
      <c r="D2930" s="51"/>
    </row>
    <row r="2931" spans="2:4">
      <c r="B2931" s="51"/>
      <c r="C2931" s="51"/>
      <c r="D2931" s="51"/>
    </row>
    <row r="2932" spans="2:4">
      <c r="B2932" s="51"/>
      <c r="C2932" s="51"/>
      <c r="D2932" s="51"/>
    </row>
    <row r="2933" spans="2:4">
      <c r="B2933" s="51"/>
      <c r="C2933" s="51"/>
      <c r="D2933" s="51"/>
    </row>
    <row r="2934" spans="2:4">
      <c r="B2934" s="51"/>
      <c r="C2934" s="51"/>
      <c r="D2934" s="51"/>
    </row>
    <row r="2935" spans="2:4">
      <c r="B2935" s="51"/>
      <c r="C2935" s="51"/>
      <c r="D2935" s="51"/>
    </row>
    <row r="2936" spans="2:4">
      <c r="B2936" s="51"/>
      <c r="C2936" s="51"/>
      <c r="D2936" s="51"/>
    </row>
    <row r="2937" spans="2:4">
      <c r="B2937" s="51"/>
      <c r="C2937" s="51"/>
      <c r="D2937" s="51"/>
    </row>
    <row r="2938" spans="2:4">
      <c r="B2938" s="51"/>
      <c r="C2938" s="51"/>
      <c r="D2938" s="51"/>
    </row>
    <row r="2939" spans="2:4">
      <c r="B2939" s="51"/>
      <c r="C2939" s="51"/>
      <c r="D2939" s="51"/>
    </row>
    <row r="2940" spans="2:4">
      <c r="B2940" s="51"/>
      <c r="C2940" s="51"/>
      <c r="D2940" s="51"/>
    </row>
    <row r="2941" spans="2:4">
      <c r="B2941" s="51"/>
      <c r="C2941" s="51"/>
      <c r="D2941" s="51"/>
    </row>
    <row r="2942" spans="2:4">
      <c r="B2942" s="51"/>
      <c r="C2942" s="51"/>
      <c r="D2942" s="51"/>
    </row>
    <row r="2943" spans="2:4">
      <c r="B2943" s="51"/>
      <c r="C2943" s="51"/>
      <c r="D2943" s="51"/>
    </row>
    <row r="2944" spans="2:4">
      <c r="B2944" s="51"/>
      <c r="C2944" s="51"/>
      <c r="D2944" s="51"/>
    </row>
    <row r="2945" spans="2:4">
      <c r="B2945" s="51"/>
      <c r="C2945" s="51"/>
      <c r="D2945" s="51"/>
    </row>
    <row r="2946" spans="2:4">
      <c r="B2946" s="51"/>
      <c r="C2946" s="51"/>
      <c r="D2946" s="51"/>
    </row>
    <row r="2947" spans="2:4">
      <c r="B2947" s="51"/>
      <c r="C2947" s="51"/>
      <c r="D2947" s="51"/>
    </row>
    <row r="2948" spans="2:4">
      <c r="B2948" s="51"/>
      <c r="C2948" s="51"/>
      <c r="D2948" s="51"/>
    </row>
    <row r="2949" spans="2:4">
      <c r="B2949" s="51"/>
      <c r="C2949" s="51"/>
      <c r="D2949" s="51"/>
    </row>
    <row r="2950" spans="2:4">
      <c r="B2950" s="51"/>
      <c r="C2950" s="51"/>
      <c r="D2950" s="51"/>
    </row>
    <row r="2951" spans="2:4">
      <c r="B2951" s="51"/>
      <c r="C2951" s="51"/>
      <c r="D2951" s="51"/>
    </row>
    <row r="2952" spans="2:4">
      <c r="B2952" s="51"/>
      <c r="C2952" s="51"/>
      <c r="D2952" s="51"/>
    </row>
    <row r="2953" spans="2:4">
      <c r="B2953" s="51"/>
      <c r="C2953" s="51"/>
      <c r="D2953" s="51"/>
    </row>
    <row r="2954" spans="2:4">
      <c r="B2954" s="51"/>
      <c r="C2954" s="51"/>
      <c r="D2954" s="51"/>
    </row>
    <row r="2955" spans="2:4">
      <c r="B2955" s="51"/>
      <c r="C2955" s="51"/>
      <c r="D2955" s="51"/>
    </row>
    <row r="2956" spans="2:4">
      <c r="B2956" s="51"/>
      <c r="C2956" s="51"/>
      <c r="D2956" s="51"/>
    </row>
    <row r="2957" spans="2:4">
      <c r="B2957" s="51"/>
      <c r="C2957" s="51"/>
      <c r="D2957" s="51"/>
    </row>
    <row r="2958" spans="2:4">
      <c r="B2958" s="51"/>
      <c r="C2958" s="51"/>
      <c r="D2958" s="51"/>
    </row>
    <row r="2959" spans="2:4">
      <c r="B2959" s="51"/>
      <c r="C2959" s="51"/>
      <c r="D2959" s="51"/>
    </row>
    <row r="2960" spans="2:4">
      <c r="B2960" s="51"/>
      <c r="C2960" s="51"/>
      <c r="D2960" s="51"/>
    </row>
    <row r="2961" spans="2:4">
      <c r="B2961" s="51"/>
      <c r="C2961" s="51"/>
      <c r="D2961" s="51"/>
    </row>
    <row r="2962" spans="2:4">
      <c r="B2962" s="51"/>
      <c r="C2962" s="51"/>
      <c r="D2962" s="51"/>
    </row>
    <row r="2963" spans="2:4">
      <c r="B2963" s="51"/>
      <c r="C2963" s="51"/>
      <c r="D2963" s="51"/>
    </row>
    <row r="2964" spans="2:4">
      <c r="B2964" s="51"/>
      <c r="C2964" s="51"/>
      <c r="D2964" s="51"/>
    </row>
    <row r="2965" spans="2:4">
      <c r="B2965" s="51"/>
      <c r="C2965" s="51"/>
      <c r="D2965" s="51"/>
    </row>
    <row r="2966" spans="2:4">
      <c r="B2966" s="51"/>
      <c r="C2966" s="51"/>
      <c r="D2966" s="51"/>
    </row>
    <row r="2967" spans="2:4">
      <c r="B2967" s="51"/>
      <c r="C2967" s="51"/>
      <c r="D2967" s="51"/>
    </row>
    <row r="2968" spans="2:4">
      <c r="B2968" s="51"/>
      <c r="C2968" s="51"/>
      <c r="D2968" s="51"/>
    </row>
    <row r="2969" spans="2:4">
      <c r="B2969" s="51"/>
      <c r="C2969" s="51"/>
      <c r="D2969" s="51"/>
    </row>
    <row r="2970" spans="2:4">
      <c r="B2970" s="51"/>
      <c r="C2970" s="51"/>
      <c r="D2970" s="51"/>
    </row>
    <row r="2971" spans="2:4">
      <c r="B2971" s="51"/>
      <c r="C2971" s="51"/>
      <c r="D2971" s="51"/>
    </row>
    <row r="2972" spans="2:4">
      <c r="B2972" s="51"/>
      <c r="C2972" s="51"/>
      <c r="D2972" s="51"/>
    </row>
    <row r="2973" spans="2:4">
      <c r="B2973" s="51"/>
      <c r="C2973" s="51"/>
      <c r="D2973" s="51"/>
    </row>
    <row r="2974" spans="2:4">
      <c r="B2974" s="51"/>
      <c r="C2974" s="51"/>
      <c r="D2974" s="51"/>
    </row>
    <row r="2975" spans="2:4">
      <c r="B2975" s="51"/>
      <c r="C2975" s="51"/>
      <c r="D2975" s="51"/>
    </row>
    <row r="2976" spans="2:4">
      <c r="B2976" s="51"/>
      <c r="C2976" s="51"/>
      <c r="D2976" s="51"/>
    </row>
    <row r="2977" spans="2:4">
      <c r="B2977" s="51"/>
      <c r="C2977" s="51"/>
      <c r="D2977" s="51"/>
    </row>
    <row r="2978" spans="2:4">
      <c r="B2978" s="51"/>
      <c r="C2978" s="51"/>
      <c r="D2978" s="51"/>
    </row>
    <row r="2979" spans="2:4">
      <c r="B2979" s="51"/>
      <c r="C2979" s="51"/>
      <c r="D2979" s="51"/>
    </row>
    <row r="2980" spans="2:4">
      <c r="B2980" s="51"/>
      <c r="C2980" s="51"/>
      <c r="D2980" s="51"/>
    </row>
    <row r="2981" spans="2:4">
      <c r="B2981" s="51"/>
      <c r="C2981" s="51"/>
      <c r="D2981" s="51"/>
    </row>
    <row r="2982" spans="2:4">
      <c r="B2982" s="51"/>
      <c r="C2982" s="51"/>
      <c r="D2982" s="51"/>
    </row>
    <row r="2983" spans="2:4">
      <c r="B2983" s="51"/>
      <c r="C2983" s="51"/>
      <c r="D2983" s="51"/>
    </row>
    <row r="2984" spans="2:4">
      <c r="B2984" s="51"/>
      <c r="C2984" s="51"/>
      <c r="D2984" s="51"/>
    </row>
    <row r="2985" spans="2:4">
      <c r="B2985" s="51"/>
      <c r="C2985" s="51"/>
      <c r="D2985" s="51"/>
    </row>
    <row r="2986" spans="2:4">
      <c r="B2986" s="51"/>
      <c r="C2986" s="51"/>
      <c r="D2986" s="51"/>
    </row>
    <row r="2987" spans="2:4">
      <c r="B2987" s="51"/>
      <c r="C2987" s="51"/>
      <c r="D2987" s="51"/>
    </row>
    <row r="2988" spans="2:4">
      <c r="B2988" s="51"/>
      <c r="C2988" s="51"/>
      <c r="D2988" s="51"/>
    </row>
    <row r="2989" spans="2:4">
      <c r="B2989" s="51"/>
      <c r="C2989" s="51"/>
      <c r="D2989" s="51"/>
    </row>
    <row r="2990" spans="2:4">
      <c r="B2990" s="51"/>
      <c r="C2990" s="51"/>
      <c r="D2990" s="51"/>
    </row>
    <row r="2991" spans="2:4">
      <c r="B2991" s="51"/>
      <c r="C2991" s="51"/>
      <c r="D2991" s="51"/>
    </row>
    <row r="2992" spans="2:4">
      <c r="B2992" s="51"/>
      <c r="C2992" s="51"/>
      <c r="D2992" s="51"/>
    </row>
    <row r="2993" spans="2:4">
      <c r="B2993" s="51"/>
      <c r="C2993" s="51"/>
      <c r="D2993" s="51"/>
    </row>
    <row r="2994" spans="2:4">
      <c r="B2994" s="51"/>
      <c r="C2994" s="51"/>
      <c r="D2994" s="51"/>
    </row>
    <row r="2995" spans="2:4">
      <c r="B2995" s="51"/>
      <c r="C2995" s="51"/>
      <c r="D2995" s="51"/>
    </row>
    <row r="2996" spans="2:4">
      <c r="B2996" s="51"/>
      <c r="C2996" s="51"/>
      <c r="D2996" s="51"/>
    </row>
    <row r="2997" spans="2:4">
      <c r="B2997" s="51"/>
      <c r="C2997" s="51"/>
      <c r="D2997" s="51"/>
    </row>
    <row r="2998" spans="2:4">
      <c r="B2998" s="51"/>
      <c r="C2998" s="51"/>
      <c r="D2998" s="51"/>
    </row>
    <row r="2999" spans="2:4">
      <c r="B2999" s="51"/>
      <c r="C2999" s="51"/>
      <c r="D2999" s="51"/>
    </row>
    <row r="3000" spans="2:4">
      <c r="B3000" s="51"/>
      <c r="C3000" s="51"/>
      <c r="D3000" s="51"/>
    </row>
    <row r="3001" spans="2:4">
      <c r="B3001" s="51"/>
      <c r="C3001" s="51"/>
      <c r="D3001" s="51"/>
    </row>
    <row r="3002" spans="2:4">
      <c r="B3002" s="51"/>
      <c r="C3002" s="51"/>
      <c r="D3002" s="51"/>
    </row>
    <row r="3003" spans="2:4">
      <c r="B3003" s="51"/>
      <c r="C3003" s="51"/>
      <c r="D3003" s="51"/>
    </row>
    <row r="3004" spans="2:4">
      <c r="B3004" s="51"/>
      <c r="C3004" s="51"/>
      <c r="D3004" s="51"/>
    </row>
    <row r="3005" spans="2:4">
      <c r="B3005" s="51"/>
      <c r="C3005" s="51"/>
      <c r="D3005" s="51"/>
    </row>
    <row r="3006" spans="2:4">
      <c r="B3006" s="51"/>
      <c r="C3006" s="51"/>
      <c r="D3006" s="51"/>
    </row>
    <row r="3007" spans="2:4">
      <c r="B3007" s="51"/>
      <c r="C3007" s="51"/>
      <c r="D3007" s="51"/>
    </row>
    <row r="3008" spans="2:4">
      <c r="B3008" s="51"/>
      <c r="C3008" s="51"/>
      <c r="D3008" s="51"/>
    </row>
    <row r="3009" spans="2:4">
      <c r="B3009" s="51"/>
      <c r="C3009" s="51"/>
      <c r="D3009" s="51"/>
    </row>
    <row r="3010" spans="2:4">
      <c r="B3010" s="51"/>
      <c r="C3010" s="51"/>
      <c r="D3010" s="51"/>
    </row>
    <row r="3011" spans="2:4">
      <c r="B3011" s="51"/>
      <c r="C3011" s="51"/>
      <c r="D3011" s="51"/>
    </row>
    <row r="3012" spans="2:4">
      <c r="B3012" s="51"/>
      <c r="C3012" s="51"/>
      <c r="D3012" s="51"/>
    </row>
    <row r="3013" spans="2:4">
      <c r="B3013" s="51"/>
      <c r="C3013" s="51"/>
      <c r="D3013" s="51"/>
    </row>
    <row r="3014" spans="2:4">
      <c r="B3014" s="51"/>
      <c r="C3014" s="51"/>
      <c r="D3014" s="51"/>
    </row>
    <row r="3015" spans="2:4">
      <c r="B3015" s="51"/>
      <c r="C3015" s="51"/>
      <c r="D3015" s="51"/>
    </row>
    <row r="3016" spans="2:4">
      <c r="B3016" s="51"/>
      <c r="C3016" s="51"/>
      <c r="D3016" s="51"/>
    </row>
    <row r="3017" spans="2:4">
      <c r="B3017" s="51"/>
      <c r="C3017" s="51"/>
      <c r="D3017" s="51"/>
    </row>
    <row r="3018" spans="2:4">
      <c r="B3018" s="51"/>
      <c r="C3018" s="51"/>
      <c r="D3018" s="51"/>
    </row>
    <row r="3019" spans="2:4">
      <c r="B3019" s="51"/>
      <c r="C3019" s="51"/>
      <c r="D3019" s="51"/>
    </row>
    <row r="3020" spans="2:4">
      <c r="B3020" s="51"/>
      <c r="C3020" s="51"/>
      <c r="D3020" s="51"/>
    </row>
    <row r="3021" spans="2:4">
      <c r="B3021" s="51"/>
      <c r="C3021" s="51"/>
      <c r="D3021" s="51"/>
    </row>
    <row r="3022" spans="2:4">
      <c r="B3022" s="51"/>
      <c r="C3022" s="51"/>
      <c r="D3022" s="51"/>
    </row>
    <row r="3023" spans="2:4">
      <c r="B3023" s="51"/>
      <c r="C3023" s="51"/>
      <c r="D3023" s="51"/>
    </row>
    <row r="3024" spans="2:4">
      <c r="B3024" s="51"/>
      <c r="C3024" s="51"/>
      <c r="D3024" s="51"/>
    </row>
    <row r="3025" spans="2:4">
      <c r="B3025" s="51"/>
      <c r="C3025" s="51"/>
      <c r="D3025" s="51"/>
    </row>
    <row r="3026" spans="2:4">
      <c r="B3026" s="51"/>
      <c r="C3026" s="51"/>
      <c r="D3026" s="51"/>
    </row>
    <row r="3027" spans="2:4">
      <c r="B3027" s="51"/>
      <c r="C3027" s="51"/>
      <c r="D3027" s="51"/>
    </row>
    <row r="3028" spans="2:4">
      <c r="B3028" s="51"/>
      <c r="C3028" s="51"/>
      <c r="D3028" s="51"/>
    </row>
    <row r="3029" spans="2:4">
      <c r="B3029" s="51"/>
      <c r="C3029" s="51"/>
      <c r="D3029" s="51"/>
    </row>
    <row r="3030" spans="2:4">
      <c r="B3030" s="51"/>
      <c r="C3030" s="51"/>
      <c r="D3030" s="51"/>
    </row>
    <row r="3031" spans="2:4">
      <c r="B3031" s="51"/>
      <c r="C3031" s="51"/>
      <c r="D3031" s="51"/>
    </row>
    <row r="3032" spans="2:4">
      <c r="B3032" s="51"/>
      <c r="C3032" s="51"/>
      <c r="D3032" s="51"/>
    </row>
    <row r="3033" spans="2:4">
      <c r="B3033" s="51"/>
      <c r="C3033" s="51"/>
      <c r="D3033" s="51"/>
    </row>
    <row r="3034" spans="2:4">
      <c r="B3034" s="51"/>
      <c r="C3034" s="51"/>
      <c r="D3034" s="51"/>
    </row>
    <row r="3035" spans="2:4">
      <c r="B3035" s="51"/>
      <c r="C3035" s="51"/>
      <c r="D3035" s="51"/>
    </row>
    <row r="3036" spans="2:4">
      <c r="B3036" s="51"/>
      <c r="C3036" s="51"/>
      <c r="D3036" s="51"/>
    </row>
    <row r="3037" spans="2:4">
      <c r="B3037" s="51"/>
      <c r="C3037" s="51"/>
      <c r="D3037" s="51"/>
    </row>
    <row r="3038" spans="2:4">
      <c r="B3038" s="51"/>
      <c r="C3038" s="51"/>
      <c r="D3038" s="51"/>
    </row>
    <row r="3039" spans="2:4">
      <c r="B3039" s="51"/>
      <c r="C3039" s="51"/>
      <c r="D3039" s="51"/>
    </row>
    <row r="3040" spans="2:4">
      <c r="B3040" s="51"/>
      <c r="C3040" s="51"/>
      <c r="D3040" s="51"/>
    </row>
    <row r="3041" spans="2:4">
      <c r="B3041" s="51"/>
      <c r="C3041" s="51"/>
      <c r="D3041" s="51"/>
    </row>
    <row r="3042" spans="2:4">
      <c r="B3042" s="51"/>
      <c r="C3042" s="51"/>
      <c r="D3042" s="51"/>
    </row>
    <row r="3043" spans="2:4">
      <c r="B3043" s="51"/>
      <c r="C3043" s="51"/>
      <c r="D3043" s="51"/>
    </row>
    <row r="3044" spans="2:4">
      <c r="B3044" s="51"/>
      <c r="C3044" s="51"/>
      <c r="D3044" s="51"/>
    </row>
    <row r="3045" spans="2:4">
      <c r="B3045" s="51"/>
      <c r="C3045" s="51"/>
      <c r="D3045" s="51"/>
    </row>
    <row r="3046" spans="2:4">
      <c r="B3046" s="51"/>
      <c r="C3046" s="51"/>
      <c r="D3046" s="51"/>
    </row>
    <row r="3047" spans="2:4">
      <c r="B3047" s="51"/>
      <c r="C3047" s="51"/>
      <c r="D3047" s="51"/>
    </row>
    <row r="3048" spans="2:4">
      <c r="B3048" s="51"/>
      <c r="C3048" s="51"/>
      <c r="D3048" s="51"/>
    </row>
    <row r="3049" spans="2:4">
      <c r="B3049" s="51"/>
      <c r="C3049" s="51"/>
      <c r="D3049" s="51"/>
    </row>
    <row r="3050" spans="2:4">
      <c r="B3050" s="51"/>
      <c r="C3050" s="51"/>
      <c r="D3050" s="51"/>
    </row>
    <row r="3051" spans="2:4">
      <c r="B3051" s="51"/>
      <c r="C3051" s="51"/>
      <c r="D3051" s="51"/>
    </row>
    <row r="3052" spans="2:4">
      <c r="B3052" s="51"/>
      <c r="C3052" s="51"/>
      <c r="D3052" s="51"/>
    </row>
    <row r="3053" spans="2:4">
      <c r="B3053" s="51"/>
      <c r="C3053" s="51"/>
      <c r="D3053" s="51"/>
    </row>
    <row r="3054" spans="2:4">
      <c r="B3054" s="51"/>
      <c r="C3054" s="51"/>
      <c r="D3054" s="51"/>
    </row>
    <row r="3055" spans="2:4">
      <c r="B3055" s="51"/>
      <c r="C3055" s="51"/>
      <c r="D3055" s="51"/>
    </row>
    <row r="3056" spans="2:4">
      <c r="B3056" s="51"/>
      <c r="C3056" s="51"/>
      <c r="D3056" s="51"/>
    </row>
    <row r="3057" spans="2:4">
      <c r="B3057" s="51"/>
      <c r="C3057" s="51"/>
      <c r="D3057" s="51"/>
    </row>
    <row r="3058" spans="2:4">
      <c r="B3058" s="51"/>
      <c r="C3058" s="51"/>
      <c r="D3058" s="51"/>
    </row>
    <row r="3059" spans="2:4">
      <c r="B3059" s="51"/>
      <c r="C3059" s="51"/>
      <c r="D3059" s="51"/>
    </row>
    <row r="3060" spans="2:4">
      <c r="B3060" s="51"/>
      <c r="C3060" s="51"/>
      <c r="D3060" s="51"/>
    </row>
    <row r="3061" spans="2:4">
      <c r="B3061" s="51"/>
      <c r="C3061" s="51"/>
      <c r="D3061" s="51"/>
    </row>
    <row r="3062" spans="2:4">
      <c r="B3062" s="51"/>
      <c r="C3062" s="51"/>
      <c r="D3062" s="51"/>
    </row>
    <row r="3063" spans="2:4">
      <c r="B3063" s="51"/>
      <c r="C3063" s="51"/>
      <c r="D3063" s="51"/>
    </row>
    <row r="3064" spans="2:4">
      <c r="B3064" s="51"/>
      <c r="C3064" s="51"/>
      <c r="D3064" s="51"/>
    </row>
    <row r="3065" spans="2:4">
      <c r="B3065" s="51"/>
      <c r="C3065" s="51"/>
      <c r="D3065" s="51"/>
    </row>
    <row r="3066" spans="2:4">
      <c r="B3066" s="51"/>
      <c r="C3066" s="51"/>
      <c r="D3066" s="51"/>
    </row>
    <row r="3067" spans="2:4">
      <c r="B3067" s="51"/>
      <c r="C3067" s="51"/>
      <c r="D3067" s="51"/>
    </row>
    <row r="3068" spans="2:4">
      <c r="B3068" s="51"/>
      <c r="C3068" s="51"/>
      <c r="D3068" s="51"/>
    </row>
    <row r="3069" spans="2:4">
      <c r="B3069" s="51"/>
      <c r="C3069" s="51"/>
      <c r="D3069" s="51"/>
    </row>
    <row r="3070" spans="2:4">
      <c r="B3070" s="51"/>
      <c r="C3070" s="51"/>
      <c r="D3070" s="51"/>
    </row>
    <row r="3071" spans="2:4">
      <c r="B3071" s="51"/>
      <c r="C3071" s="51"/>
      <c r="D3071" s="51"/>
    </row>
    <row r="3072" spans="2:4">
      <c r="B3072" s="51"/>
      <c r="C3072" s="51"/>
      <c r="D3072" s="51"/>
    </row>
    <row r="3073" spans="2:4">
      <c r="B3073" s="51"/>
      <c r="C3073" s="51"/>
      <c r="D3073" s="51"/>
    </row>
    <row r="3074" spans="2:4">
      <c r="B3074" s="51"/>
      <c r="C3074" s="51"/>
      <c r="D3074" s="51"/>
    </row>
    <row r="3075" spans="2:4">
      <c r="B3075" s="51"/>
      <c r="C3075" s="51"/>
      <c r="D3075" s="51"/>
    </row>
    <row r="3076" spans="2:4">
      <c r="B3076" s="51"/>
      <c r="C3076" s="51"/>
      <c r="D3076" s="51"/>
    </row>
    <row r="3077" spans="2:4">
      <c r="B3077" s="51"/>
      <c r="C3077" s="51"/>
      <c r="D3077" s="51"/>
    </row>
    <row r="3078" spans="2:4">
      <c r="B3078" s="51"/>
      <c r="C3078" s="51"/>
      <c r="D3078" s="51"/>
    </row>
    <row r="3079" spans="2:4">
      <c r="B3079" s="51"/>
      <c r="C3079" s="51"/>
      <c r="D3079" s="51"/>
    </row>
    <row r="3080" spans="2:4">
      <c r="B3080" s="51"/>
      <c r="C3080" s="51"/>
      <c r="D3080" s="51"/>
    </row>
    <row r="3081" spans="2:4">
      <c r="B3081" s="51"/>
      <c r="C3081" s="51"/>
      <c r="D3081" s="51"/>
    </row>
    <row r="3082" spans="2:4">
      <c r="B3082" s="51"/>
      <c r="C3082" s="51"/>
      <c r="D3082" s="51"/>
    </row>
    <row r="3083" spans="2:4">
      <c r="B3083" s="51"/>
      <c r="C3083" s="51"/>
      <c r="D3083" s="51"/>
    </row>
    <row r="3084" spans="2:4">
      <c r="B3084" s="51"/>
      <c r="C3084" s="51"/>
      <c r="D3084" s="51"/>
    </row>
    <row r="3085" spans="2:4">
      <c r="B3085" s="51"/>
      <c r="C3085" s="51"/>
      <c r="D3085" s="51"/>
    </row>
    <row r="3086" spans="2:4">
      <c r="B3086" s="51"/>
      <c r="C3086" s="51"/>
      <c r="D3086" s="51"/>
    </row>
    <row r="3087" spans="2:4">
      <c r="B3087" s="51"/>
      <c r="C3087" s="51"/>
      <c r="D3087" s="51"/>
    </row>
    <row r="3088" spans="2:4">
      <c r="B3088" s="51"/>
      <c r="C3088" s="51"/>
      <c r="D3088" s="51"/>
    </row>
    <row r="3089" spans="2:4">
      <c r="B3089" s="51"/>
      <c r="C3089" s="51"/>
      <c r="D3089" s="51"/>
    </row>
    <row r="3090" spans="2:4">
      <c r="B3090" s="51"/>
      <c r="C3090" s="51"/>
      <c r="D3090" s="51"/>
    </row>
    <row r="3091" spans="2:4">
      <c r="B3091" s="51"/>
      <c r="C3091" s="51"/>
      <c r="D3091" s="51"/>
    </row>
    <row r="3092" spans="2:4">
      <c r="B3092" s="51"/>
      <c r="C3092" s="51"/>
      <c r="D3092" s="51"/>
    </row>
    <row r="3093" spans="2:4">
      <c r="B3093" s="51"/>
      <c r="C3093" s="51"/>
      <c r="D3093" s="51"/>
    </row>
    <row r="3094" spans="2:4">
      <c r="B3094" s="51"/>
      <c r="C3094" s="51"/>
      <c r="D3094" s="51"/>
    </row>
    <row r="3095" spans="2:4">
      <c r="B3095" s="51"/>
      <c r="C3095" s="51"/>
      <c r="D3095" s="51"/>
    </row>
    <row r="3096" spans="2:4">
      <c r="B3096" s="51"/>
      <c r="C3096" s="51"/>
      <c r="D3096" s="51"/>
    </row>
    <row r="3097" spans="2:4">
      <c r="B3097" s="51"/>
      <c r="C3097" s="51"/>
      <c r="D3097" s="51"/>
    </row>
    <row r="3098" spans="2:4">
      <c r="B3098" s="51"/>
      <c r="C3098" s="51"/>
      <c r="D3098" s="51"/>
    </row>
    <row r="3099" spans="2:4">
      <c r="B3099" s="51"/>
      <c r="C3099" s="51"/>
      <c r="D3099" s="51"/>
    </row>
    <row r="3100" spans="2:4">
      <c r="B3100" s="51"/>
      <c r="C3100" s="51"/>
      <c r="D3100" s="51"/>
    </row>
    <row r="3101" spans="2:4">
      <c r="B3101" s="51"/>
      <c r="C3101" s="51"/>
      <c r="D3101" s="51"/>
    </row>
    <row r="3102" spans="2:4">
      <c r="B3102" s="51"/>
      <c r="C3102" s="51"/>
      <c r="D3102" s="51"/>
    </row>
    <row r="3103" spans="2:4">
      <c r="B3103" s="51"/>
      <c r="C3103" s="51"/>
      <c r="D3103" s="51"/>
    </row>
    <row r="3104" spans="2:4">
      <c r="B3104" s="51"/>
      <c r="C3104" s="51"/>
      <c r="D3104" s="51"/>
    </row>
    <row r="3105" spans="2:4">
      <c r="B3105" s="51"/>
      <c r="C3105" s="51"/>
      <c r="D3105" s="51"/>
    </row>
    <row r="3106" spans="2:4">
      <c r="B3106" s="51"/>
      <c r="C3106" s="51"/>
      <c r="D3106" s="51"/>
    </row>
    <row r="3107" spans="2:4">
      <c r="B3107" s="51"/>
      <c r="C3107" s="51"/>
      <c r="D3107" s="51"/>
    </row>
    <row r="3108" spans="2:4">
      <c r="B3108" s="51"/>
      <c r="C3108" s="51"/>
      <c r="D3108" s="51"/>
    </row>
    <row r="3109" spans="2:4">
      <c r="B3109" s="51"/>
      <c r="C3109" s="51"/>
      <c r="D3109" s="51"/>
    </row>
    <row r="3110" spans="2:4">
      <c r="B3110" s="51"/>
      <c r="C3110" s="51"/>
      <c r="D3110" s="51"/>
    </row>
    <row r="3111" spans="2:4">
      <c r="B3111" s="51"/>
      <c r="C3111" s="51"/>
      <c r="D3111" s="51"/>
    </row>
    <row r="3112" spans="2:4">
      <c r="B3112" s="51"/>
      <c r="C3112" s="51"/>
      <c r="D3112" s="51"/>
    </row>
    <row r="3113" spans="2:4">
      <c r="B3113" s="51"/>
      <c r="C3113" s="51"/>
      <c r="D3113" s="51"/>
    </row>
    <row r="3114" spans="2:4">
      <c r="B3114" s="51"/>
      <c r="C3114" s="51"/>
      <c r="D3114" s="51"/>
    </row>
    <row r="3115" spans="2:4">
      <c r="B3115" s="51"/>
      <c r="C3115" s="51"/>
      <c r="D3115" s="51"/>
    </row>
    <row r="3116" spans="2:4">
      <c r="B3116" s="51"/>
      <c r="C3116" s="51"/>
      <c r="D3116" s="51"/>
    </row>
    <row r="3117" spans="2:4">
      <c r="B3117" s="51"/>
      <c r="C3117" s="51"/>
      <c r="D3117" s="51"/>
    </row>
    <row r="3118" spans="2:4">
      <c r="B3118" s="51"/>
      <c r="C3118" s="51"/>
      <c r="D3118" s="51"/>
    </row>
    <row r="3119" spans="2:4">
      <c r="B3119" s="51"/>
      <c r="C3119" s="51"/>
      <c r="D3119" s="51"/>
    </row>
    <row r="3120" spans="2:4">
      <c r="B3120" s="51"/>
      <c r="C3120" s="51"/>
      <c r="D3120" s="51"/>
    </row>
    <row r="3121" spans="2:4">
      <c r="B3121" s="51"/>
      <c r="C3121" s="51"/>
      <c r="D3121" s="51"/>
    </row>
    <row r="3122" spans="2:4">
      <c r="B3122" s="51"/>
      <c r="C3122" s="51"/>
      <c r="D3122" s="51"/>
    </row>
    <row r="3123" spans="2:4">
      <c r="B3123" s="51"/>
      <c r="C3123" s="51"/>
      <c r="D3123" s="51"/>
    </row>
    <row r="3124" spans="2:4">
      <c r="B3124" s="51"/>
      <c r="C3124" s="51"/>
      <c r="D3124" s="51"/>
    </row>
    <row r="3125" spans="2:4">
      <c r="B3125" s="51"/>
      <c r="C3125" s="51"/>
      <c r="D3125" s="51"/>
    </row>
    <row r="3126" spans="2:4">
      <c r="B3126" s="51"/>
      <c r="C3126" s="51"/>
      <c r="D3126" s="51"/>
    </row>
    <row r="3127" spans="2:4">
      <c r="B3127" s="51"/>
      <c r="C3127" s="51"/>
      <c r="D3127" s="51"/>
    </row>
    <row r="3128" spans="2:4">
      <c r="B3128" s="51"/>
      <c r="C3128" s="51"/>
      <c r="D3128" s="51"/>
    </row>
    <row r="3129" spans="2:4">
      <c r="B3129" s="51"/>
      <c r="C3129" s="51"/>
      <c r="D3129" s="51"/>
    </row>
    <row r="3130" spans="2:4">
      <c r="B3130" s="51"/>
      <c r="C3130" s="51"/>
      <c r="D3130" s="51"/>
    </row>
    <row r="3131" spans="2:4">
      <c r="B3131" s="51"/>
      <c r="C3131" s="51"/>
      <c r="D3131" s="51"/>
    </row>
    <row r="3132" spans="2:4">
      <c r="B3132" s="51"/>
      <c r="C3132" s="51"/>
      <c r="D3132" s="51"/>
    </row>
    <row r="3133" spans="2:4">
      <c r="B3133" s="51"/>
      <c r="C3133" s="51"/>
      <c r="D3133" s="51"/>
    </row>
    <row r="3134" spans="2:4">
      <c r="B3134" s="51"/>
      <c r="C3134" s="51"/>
      <c r="D3134" s="51"/>
    </row>
    <row r="3135" spans="2:4">
      <c r="B3135" s="51"/>
      <c r="C3135" s="51"/>
      <c r="D3135" s="51"/>
    </row>
    <row r="3136" spans="2:4">
      <c r="B3136" s="51"/>
      <c r="C3136" s="51"/>
      <c r="D3136" s="51"/>
    </row>
    <row r="3137" spans="2:4">
      <c r="B3137" s="51"/>
      <c r="C3137" s="51"/>
      <c r="D3137" s="51"/>
    </row>
    <row r="3138" spans="2:4">
      <c r="B3138" s="51"/>
      <c r="C3138" s="51"/>
      <c r="D3138" s="51"/>
    </row>
    <row r="3139" spans="2:4">
      <c r="B3139" s="51"/>
      <c r="C3139" s="51"/>
      <c r="D3139" s="51"/>
    </row>
    <row r="3140" spans="2:4">
      <c r="B3140" s="51"/>
      <c r="C3140" s="51"/>
      <c r="D3140" s="51"/>
    </row>
    <row r="3141" spans="2:4">
      <c r="B3141" s="51"/>
      <c r="C3141" s="51"/>
      <c r="D3141" s="51"/>
    </row>
    <row r="3142" spans="2:4">
      <c r="B3142" s="51"/>
      <c r="C3142" s="51"/>
      <c r="D3142" s="51"/>
    </row>
    <row r="3143" spans="2:4">
      <c r="B3143" s="51"/>
      <c r="C3143" s="51"/>
      <c r="D3143" s="51"/>
    </row>
    <row r="3144" spans="2:4">
      <c r="B3144" s="51"/>
      <c r="C3144" s="51"/>
      <c r="D3144" s="51"/>
    </row>
    <row r="3145" spans="2:4">
      <c r="B3145" s="51"/>
      <c r="C3145" s="51"/>
      <c r="D3145" s="51"/>
    </row>
    <row r="3146" spans="2:4">
      <c r="B3146" s="51"/>
      <c r="C3146" s="51"/>
      <c r="D3146" s="51"/>
    </row>
    <row r="3147" spans="2:4">
      <c r="B3147" s="51"/>
      <c r="C3147" s="51"/>
      <c r="D3147" s="51"/>
    </row>
    <row r="3148" spans="2:4">
      <c r="B3148" s="51"/>
      <c r="C3148" s="51"/>
      <c r="D3148" s="51"/>
    </row>
    <row r="3149" spans="2:4">
      <c r="B3149" s="51"/>
      <c r="C3149" s="51"/>
      <c r="D3149" s="51"/>
    </row>
    <row r="3150" spans="2:4">
      <c r="B3150" s="51"/>
      <c r="C3150" s="51"/>
      <c r="D3150" s="51"/>
    </row>
    <row r="3151" spans="2:4">
      <c r="B3151" s="51"/>
      <c r="C3151" s="51"/>
      <c r="D3151" s="51"/>
    </row>
    <row r="3152" spans="2:4">
      <c r="B3152" s="51"/>
      <c r="C3152" s="51"/>
      <c r="D3152" s="51"/>
    </row>
    <row r="3153" spans="2:4">
      <c r="B3153" s="51"/>
      <c r="C3153" s="51"/>
      <c r="D3153" s="51"/>
    </row>
    <row r="3154" spans="2:4">
      <c r="B3154" s="51"/>
      <c r="C3154" s="51"/>
      <c r="D3154" s="51"/>
    </row>
    <row r="3155" spans="2:4">
      <c r="B3155" s="51"/>
      <c r="C3155" s="51"/>
      <c r="D3155" s="51"/>
    </row>
    <row r="3156" spans="2:4">
      <c r="B3156" s="51"/>
      <c r="C3156" s="51"/>
      <c r="D3156" s="51"/>
    </row>
    <row r="3157" spans="2:4">
      <c r="B3157" s="51"/>
      <c r="C3157" s="51"/>
      <c r="D3157" s="51"/>
    </row>
    <row r="3158" spans="2:4">
      <c r="B3158" s="51"/>
      <c r="C3158" s="51"/>
      <c r="D3158" s="51"/>
    </row>
    <row r="3159" spans="2:4">
      <c r="B3159" s="51"/>
      <c r="C3159" s="51"/>
      <c r="D3159" s="51"/>
    </row>
    <row r="3160" spans="2:4">
      <c r="B3160" s="51"/>
      <c r="C3160" s="51"/>
      <c r="D3160" s="51"/>
    </row>
    <row r="3161" spans="2:4">
      <c r="B3161" s="51"/>
      <c r="C3161" s="51"/>
      <c r="D3161" s="51"/>
    </row>
    <row r="3162" spans="2:4">
      <c r="B3162" s="51"/>
      <c r="C3162" s="51"/>
      <c r="D3162" s="51"/>
    </row>
    <row r="3163" spans="2:4">
      <c r="B3163" s="51"/>
      <c r="C3163" s="51"/>
      <c r="D3163" s="51"/>
    </row>
    <row r="3164" spans="2:4">
      <c r="B3164" s="51"/>
      <c r="C3164" s="51"/>
      <c r="D3164" s="51"/>
    </row>
    <row r="3165" spans="2:4">
      <c r="B3165" s="51"/>
      <c r="C3165" s="51"/>
      <c r="D3165" s="51"/>
    </row>
    <row r="3166" spans="2:4">
      <c r="B3166" s="51"/>
      <c r="C3166" s="51"/>
      <c r="D3166" s="51"/>
    </row>
    <row r="3167" spans="2:4">
      <c r="B3167" s="51"/>
      <c r="C3167" s="51"/>
      <c r="D3167" s="51"/>
    </row>
    <row r="3168" spans="2:4">
      <c r="B3168" s="51"/>
      <c r="C3168" s="51"/>
      <c r="D3168" s="51"/>
    </row>
    <row r="3169" spans="2:4">
      <c r="B3169" s="51"/>
      <c r="C3169" s="51"/>
      <c r="D3169" s="51"/>
    </row>
    <row r="3170" spans="2:4">
      <c r="B3170" s="51"/>
      <c r="C3170" s="51"/>
      <c r="D3170" s="51"/>
    </row>
    <row r="3171" spans="2:4">
      <c r="B3171" s="51"/>
      <c r="C3171" s="51"/>
      <c r="D3171" s="51"/>
    </row>
    <row r="3172" spans="2:4">
      <c r="B3172" s="51"/>
      <c r="C3172" s="51"/>
      <c r="D3172" s="51"/>
    </row>
    <row r="3173" spans="2:4">
      <c r="B3173" s="51"/>
      <c r="C3173" s="51"/>
      <c r="D3173" s="51"/>
    </row>
    <row r="3174" spans="2:4">
      <c r="B3174" s="51"/>
      <c r="C3174" s="51"/>
      <c r="D3174" s="51"/>
    </row>
    <row r="3175" spans="2:4">
      <c r="B3175" s="51"/>
      <c r="C3175" s="51"/>
      <c r="D3175" s="51"/>
    </row>
    <row r="3176" spans="2:4">
      <c r="B3176" s="51"/>
      <c r="C3176" s="51"/>
      <c r="D3176" s="51"/>
    </row>
    <row r="3177" spans="2:4">
      <c r="B3177" s="51"/>
      <c r="C3177" s="51"/>
      <c r="D3177" s="51"/>
    </row>
    <row r="3178" spans="2:4">
      <c r="B3178" s="51"/>
      <c r="C3178" s="51"/>
      <c r="D3178" s="51"/>
    </row>
    <row r="3179" spans="2:4">
      <c r="B3179" s="51"/>
      <c r="C3179" s="51"/>
      <c r="D3179" s="51"/>
    </row>
    <row r="3180" spans="2:4">
      <c r="B3180" s="51"/>
      <c r="C3180" s="51"/>
      <c r="D3180" s="51"/>
    </row>
    <row r="3181" spans="2:4">
      <c r="B3181" s="51"/>
      <c r="C3181" s="51"/>
      <c r="D3181" s="51"/>
    </row>
    <row r="3182" spans="2:4">
      <c r="B3182" s="51"/>
      <c r="C3182" s="51"/>
      <c r="D3182" s="51"/>
    </row>
    <row r="3183" spans="2:4">
      <c r="B3183" s="51"/>
      <c r="C3183" s="51"/>
      <c r="D3183" s="51"/>
    </row>
    <row r="3184" spans="2:4">
      <c r="B3184" s="51"/>
      <c r="C3184" s="51"/>
      <c r="D3184" s="51"/>
    </row>
    <row r="3185" spans="2:4">
      <c r="B3185" s="51"/>
      <c r="C3185" s="51"/>
      <c r="D3185" s="51"/>
    </row>
    <row r="3186" spans="2:4">
      <c r="B3186" s="51"/>
      <c r="C3186" s="51"/>
      <c r="D3186" s="51"/>
    </row>
    <row r="3187" spans="2:4">
      <c r="B3187" s="51"/>
      <c r="C3187" s="51"/>
      <c r="D3187" s="51"/>
    </row>
    <row r="3188" spans="2:4">
      <c r="B3188" s="51"/>
      <c r="C3188" s="51"/>
      <c r="D3188" s="51"/>
    </row>
    <row r="3189" spans="2:4">
      <c r="B3189" s="51"/>
      <c r="C3189" s="51"/>
      <c r="D3189" s="51"/>
    </row>
    <row r="3190" spans="2:4">
      <c r="B3190" s="51"/>
      <c r="C3190" s="51"/>
      <c r="D3190" s="51"/>
    </row>
    <row r="3191" spans="2:4">
      <c r="B3191" s="51"/>
      <c r="C3191" s="51"/>
      <c r="D3191" s="51"/>
    </row>
    <row r="3192" spans="2:4">
      <c r="B3192" s="51"/>
      <c r="C3192" s="51"/>
      <c r="D3192" s="51"/>
    </row>
    <row r="3193" spans="2:4">
      <c r="B3193" s="51"/>
      <c r="C3193" s="51"/>
      <c r="D3193" s="51"/>
    </row>
    <row r="3194" spans="2:4">
      <c r="B3194" s="51"/>
      <c r="C3194" s="51"/>
      <c r="D3194" s="51"/>
    </row>
    <row r="3195" spans="2:4">
      <c r="B3195" s="51"/>
      <c r="C3195" s="51"/>
      <c r="D3195" s="51"/>
    </row>
    <row r="3196" spans="2:4">
      <c r="B3196" s="51"/>
      <c r="C3196" s="51"/>
      <c r="D3196" s="51"/>
    </row>
    <row r="3197" spans="2:4">
      <c r="B3197" s="51"/>
      <c r="C3197" s="51"/>
      <c r="D3197" s="51"/>
    </row>
    <row r="3198" spans="2:4">
      <c r="B3198" s="51"/>
      <c r="C3198" s="51"/>
      <c r="D3198" s="51"/>
    </row>
    <row r="3199" spans="2:4">
      <c r="B3199" s="51"/>
      <c r="C3199" s="51"/>
      <c r="D3199" s="51"/>
    </row>
    <row r="3200" spans="2:4">
      <c r="B3200" s="51"/>
      <c r="C3200" s="51"/>
      <c r="D3200" s="51"/>
    </row>
    <row r="3201" spans="2:4">
      <c r="B3201" s="51"/>
      <c r="C3201" s="51"/>
      <c r="D3201" s="51"/>
    </row>
    <row r="3202" spans="2:4">
      <c r="B3202" s="51"/>
      <c r="C3202" s="51"/>
      <c r="D3202" s="51"/>
    </row>
    <row r="3203" spans="2:4">
      <c r="B3203" s="51"/>
      <c r="C3203" s="51"/>
      <c r="D3203" s="51"/>
    </row>
    <row r="3204" spans="2:4">
      <c r="B3204" s="51"/>
      <c r="C3204" s="51"/>
      <c r="D3204" s="51"/>
    </row>
    <row r="3205" spans="2:4">
      <c r="B3205" s="51"/>
      <c r="C3205" s="51"/>
      <c r="D3205" s="51"/>
    </row>
    <row r="3206" spans="2:4">
      <c r="B3206" s="51"/>
      <c r="C3206" s="51"/>
      <c r="D3206" s="51"/>
    </row>
    <row r="3207" spans="2:4">
      <c r="B3207" s="51"/>
      <c r="C3207" s="51"/>
      <c r="D3207" s="51"/>
    </row>
    <row r="3208" spans="2:4">
      <c r="B3208" s="51"/>
      <c r="C3208" s="51"/>
      <c r="D3208" s="51"/>
    </row>
    <row r="3209" spans="2:4">
      <c r="B3209" s="51"/>
      <c r="C3209" s="51"/>
      <c r="D3209" s="51"/>
    </row>
    <row r="3210" spans="2:4">
      <c r="B3210" s="51"/>
      <c r="C3210" s="51"/>
      <c r="D3210" s="51"/>
    </row>
    <row r="3211" spans="2:4">
      <c r="B3211" s="51"/>
      <c r="C3211" s="51"/>
      <c r="D3211" s="51"/>
    </row>
    <row r="3212" spans="2:4">
      <c r="B3212" s="51"/>
      <c r="C3212" s="51"/>
      <c r="D3212" s="51"/>
    </row>
    <row r="3213" spans="2:4">
      <c r="B3213" s="51"/>
      <c r="C3213" s="51"/>
      <c r="D3213" s="51"/>
    </row>
    <row r="3214" spans="2:4">
      <c r="B3214" s="51"/>
      <c r="C3214" s="51"/>
      <c r="D3214" s="51"/>
    </row>
    <row r="3215" spans="2:4">
      <c r="B3215" s="51"/>
      <c r="C3215" s="51"/>
      <c r="D3215" s="51"/>
    </row>
    <row r="3216" spans="2:4">
      <c r="B3216" s="51"/>
      <c r="C3216" s="51"/>
      <c r="D3216" s="51"/>
    </row>
    <row r="3217" spans="2:4">
      <c r="B3217" s="51"/>
      <c r="C3217" s="51"/>
      <c r="D3217" s="51"/>
    </row>
    <row r="3218" spans="2:4">
      <c r="B3218" s="51"/>
      <c r="C3218" s="51"/>
      <c r="D3218" s="51"/>
    </row>
    <row r="3219" spans="2:4">
      <c r="B3219" s="51"/>
      <c r="C3219" s="51"/>
      <c r="D3219" s="51"/>
    </row>
    <row r="3220" spans="2:4">
      <c r="B3220" s="51"/>
      <c r="C3220" s="51"/>
      <c r="D3220" s="51"/>
    </row>
    <row r="3221" spans="2:4">
      <c r="B3221" s="51"/>
      <c r="C3221" s="51"/>
      <c r="D3221" s="51"/>
    </row>
    <row r="3222" spans="2:4">
      <c r="B3222" s="51"/>
      <c r="C3222" s="51"/>
      <c r="D3222" s="51"/>
    </row>
    <row r="3223" spans="2:4">
      <c r="B3223" s="51"/>
      <c r="C3223" s="51"/>
      <c r="D3223" s="51"/>
    </row>
    <row r="3224" spans="2:4">
      <c r="B3224" s="51"/>
      <c r="C3224" s="51"/>
      <c r="D3224" s="51"/>
    </row>
    <row r="3225" spans="2:4">
      <c r="B3225" s="51"/>
      <c r="C3225" s="51"/>
      <c r="D3225" s="51"/>
    </row>
    <row r="3226" spans="2:4">
      <c r="B3226" s="51"/>
      <c r="C3226" s="51"/>
      <c r="D3226" s="51"/>
    </row>
    <row r="3227" spans="2:4">
      <c r="B3227" s="51"/>
      <c r="C3227" s="51"/>
      <c r="D3227" s="51"/>
    </row>
    <row r="3228" spans="2:4">
      <c r="B3228" s="51"/>
      <c r="C3228" s="51"/>
      <c r="D3228" s="51"/>
    </row>
    <row r="3229" spans="2:4">
      <c r="B3229" s="51"/>
      <c r="C3229" s="51"/>
      <c r="D3229" s="51"/>
    </row>
    <row r="3230" spans="2:4">
      <c r="B3230" s="51"/>
      <c r="C3230" s="51"/>
      <c r="D3230" s="51"/>
    </row>
    <row r="3231" spans="2:4">
      <c r="B3231" s="51"/>
      <c r="C3231" s="51"/>
      <c r="D3231" s="51"/>
    </row>
    <row r="3232" spans="2:4">
      <c r="B3232" s="51"/>
      <c r="C3232" s="51"/>
      <c r="D3232" s="51"/>
    </row>
    <row r="3233" spans="2:4">
      <c r="B3233" s="51"/>
      <c r="C3233" s="51"/>
      <c r="D3233" s="51"/>
    </row>
    <row r="3234" spans="2:4">
      <c r="B3234" s="51"/>
      <c r="C3234" s="51"/>
      <c r="D3234" s="51"/>
    </row>
    <row r="3235" spans="2:4">
      <c r="B3235" s="51"/>
      <c r="C3235" s="51"/>
      <c r="D3235" s="51"/>
    </row>
    <row r="3236" spans="2:4">
      <c r="B3236" s="51"/>
      <c r="C3236" s="51"/>
      <c r="D3236" s="51"/>
    </row>
    <row r="3237" spans="2:4">
      <c r="B3237" s="51"/>
      <c r="C3237" s="51"/>
      <c r="D3237" s="51"/>
    </row>
    <row r="3238" spans="2:4">
      <c r="B3238" s="51"/>
      <c r="C3238" s="51"/>
      <c r="D3238" s="51"/>
    </row>
    <row r="3239" spans="2:4">
      <c r="B3239" s="51"/>
      <c r="C3239" s="51"/>
      <c r="D3239" s="51"/>
    </row>
    <row r="3240" spans="2:4">
      <c r="B3240" s="51"/>
      <c r="C3240" s="51"/>
      <c r="D3240" s="51"/>
    </row>
    <row r="3241" spans="2:4">
      <c r="B3241" s="51"/>
      <c r="C3241" s="51"/>
      <c r="D3241" s="51"/>
    </row>
    <row r="3242" spans="2:4">
      <c r="B3242" s="51"/>
      <c r="C3242" s="51"/>
      <c r="D3242" s="51"/>
    </row>
    <row r="3243" spans="2:4">
      <c r="B3243" s="51"/>
      <c r="C3243" s="51"/>
      <c r="D3243" s="51"/>
    </row>
    <row r="3244" spans="2:4">
      <c r="B3244" s="51"/>
      <c r="C3244" s="51"/>
      <c r="D3244" s="51"/>
    </row>
    <row r="3245" spans="2:4">
      <c r="B3245" s="51"/>
      <c r="C3245" s="51"/>
      <c r="D3245" s="51"/>
    </row>
    <row r="3246" spans="2:4">
      <c r="B3246" s="51"/>
      <c r="C3246" s="51"/>
      <c r="D3246" s="51"/>
    </row>
    <row r="3247" spans="2:4">
      <c r="B3247" s="51"/>
      <c r="C3247" s="51"/>
      <c r="D3247" s="51"/>
    </row>
    <row r="3248" spans="2:4">
      <c r="B3248" s="51"/>
      <c r="C3248" s="51"/>
      <c r="D3248" s="51"/>
    </row>
    <row r="3249" spans="2:4">
      <c r="B3249" s="51"/>
      <c r="C3249" s="51"/>
      <c r="D3249" s="51"/>
    </row>
    <row r="3250" spans="2:4">
      <c r="B3250" s="51"/>
      <c r="C3250" s="51"/>
      <c r="D3250" s="51"/>
    </row>
    <row r="3251" spans="2:4">
      <c r="B3251" s="51"/>
      <c r="C3251" s="51"/>
      <c r="D3251" s="51"/>
    </row>
    <row r="3252" spans="2:4">
      <c r="B3252" s="51"/>
      <c r="C3252" s="51"/>
      <c r="D3252" s="51"/>
    </row>
    <row r="3253" spans="2:4">
      <c r="B3253" s="51"/>
      <c r="C3253" s="51"/>
      <c r="D3253" s="51"/>
    </row>
    <row r="3254" spans="2:4">
      <c r="B3254" s="51"/>
      <c r="C3254" s="51"/>
      <c r="D3254" s="51"/>
    </row>
    <row r="3255" spans="2:4">
      <c r="B3255" s="51"/>
      <c r="C3255" s="51"/>
      <c r="D3255" s="51"/>
    </row>
    <row r="3256" spans="2:4">
      <c r="B3256" s="51"/>
      <c r="C3256" s="51"/>
      <c r="D3256" s="51"/>
    </row>
    <row r="3257" spans="2:4">
      <c r="B3257" s="51"/>
      <c r="C3257" s="51"/>
      <c r="D3257" s="51"/>
    </row>
    <row r="3258" spans="2:4">
      <c r="B3258" s="51"/>
      <c r="C3258" s="51"/>
      <c r="D3258" s="51"/>
    </row>
    <row r="3259" spans="2:4">
      <c r="B3259" s="51"/>
      <c r="C3259" s="51"/>
      <c r="D3259" s="51"/>
    </row>
    <row r="3260" spans="2:4">
      <c r="B3260" s="51"/>
      <c r="C3260" s="51"/>
      <c r="D3260" s="51"/>
    </row>
    <row r="3261" spans="2:4">
      <c r="B3261" s="51"/>
      <c r="C3261" s="51"/>
      <c r="D3261" s="51"/>
    </row>
    <row r="3262" spans="2:4">
      <c r="B3262" s="51"/>
      <c r="C3262" s="51"/>
      <c r="D3262" s="51"/>
    </row>
    <row r="3263" spans="2:4">
      <c r="B3263" s="51"/>
      <c r="C3263" s="51"/>
      <c r="D3263" s="51"/>
    </row>
    <row r="3264" spans="2:4">
      <c r="B3264" s="51"/>
      <c r="C3264" s="51"/>
      <c r="D3264" s="51"/>
    </row>
    <row r="3265" spans="2:4">
      <c r="B3265" s="51"/>
      <c r="C3265" s="51"/>
      <c r="D3265" s="51"/>
    </row>
    <row r="3266" spans="2:4">
      <c r="B3266" s="51"/>
      <c r="C3266" s="51"/>
      <c r="D3266" s="51"/>
    </row>
    <row r="3267" spans="2:4">
      <c r="B3267" s="51"/>
      <c r="C3267" s="51"/>
      <c r="D3267" s="51"/>
    </row>
    <row r="3268" spans="2:4">
      <c r="B3268" s="51"/>
      <c r="C3268" s="51"/>
      <c r="D3268" s="51"/>
    </row>
    <row r="3269" spans="2:4">
      <c r="B3269" s="51"/>
      <c r="C3269" s="51"/>
      <c r="D3269" s="51"/>
    </row>
    <row r="3270" spans="2:4">
      <c r="B3270" s="51"/>
      <c r="C3270" s="51"/>
      <c r="D3270" s="51"/>
    </row>
    <row r="3271" spans="2:4">
      <c r="B3271" s="51"/>
      <c r="C3271" s="51"/>
      <c r="D3271" s="51"/>
    </row>
    <row r="3272" spans="2:4">
      <c r="B3272" s="51"/>
      <c r="C3272" s="51"/>
      <c r="D3272" s="51"/>
    </row>
    <row r="3273" spans="2:4">
      <c r="B3273" s="51"/>
      <c r="C3273" s="51"/>
      <c r="D3273" s="51"/>
    </row>
    <row r="3274" spans="2:4">
      <c r="B3274" s="51"/>
      <c r="C3274" s="51"/>
      <c r="D3274" s="51"/>
    </row>
    <row r="3275" spans="2:4">
      <c r="B3275" s="51"/>
      <c r="C3275" s="51"/>
      <c r="D3275" s="51"/>
    </row>
    <row r="3276" spans="2:4">
      <c r="B3276" s="51"/>
      <c r="C3276" s="51"/>
      <c r="D3276" s="51"/>
    </row>
    <row r="3277" spans="2:4">
      <c r="B3277" s="51"/>
      <c r="C3277" s="51"/>
      <c r="D3277" s="51"/>
    </row>
    <row r="3278" spans="2:4">
      <c r="B3278" s="51"/>
      <c r="C3278" s="51"/>
      <c r="D3278" s="51"/>
    </row>
    <row r="3279" spans="2:4">
      <c r="B3279" s="51"/>
      <c r="C3279" s="51"/>
      <c r="D3279" s="51"/>
    </row>
    <row r="3280" spans="2:4">
      <c r="B3280" s="51"/>
      <c r="C3280" s="51"/>
      <c r="D3280" s="51"/>
    </row>
    <row r="3281" spans="2:4">
      <c r="B3281" s="51"/>
      <c r="C3281" s="51"/>
      <c r="D3281" s="51"/>
    </row>
    <row r="3282" spans="2:4">
      <c r="B3282" s="51"/>
      <c r="C3282" s="51"/>
      <c r="D3282" s="51"/>
    </row>
    <row r="3283" spans="2:4">
      <c r="B3283" s="51"/>
      <c r="C3283" s="51"/>
      <c r="D3283" s="51"/>
    </row>
    <row r="3284" spans="2:4">
      <c r="B3284" s="51"/>
      <c r="C3284" s="51"/>
      <c r="D3284" s="51"/>
    </row>
    <row r="3285" spans="2:4">
      <c r="B3285" s="51"/>
      <c r="C3285" s="51"/>
      <c r="D3285" s="51"/>
    </row>
    <row r="3286" spans="2:4">
      <c r="B3286" s="51"/>
      <c r="C3286" s="51"/>
      <c r="D3286" s="51"/>
    </row>
    <row r="3287" spans="2:4">
      <c r="B3287" s="51"/>
      <c r="C3287" s="51"/>
      <c r="D3287" s="51"/>
    </row>
    <row r="3288" spans="2:4">
      <c r="B3288" s="51"/>
      <c r="C3288" s="51"/>
      <c r="D3288" s="51"/>
    </row>
    <row r="3289" spans="2:4">
      <c r="B3289" s="51"/>
      <c r="C3289" s="51"/>
      <c r="D3289" s="51"/>
    </row>
    <row r="3290" spans="2:4">
      <c r="B3290" s="51"/>
      <c r="C3290" s="51"/>
      <c r="D3290" s="51"/>
    </row>
    <row r="3291" spans="2:4">
      <c r="B3291" s="51"/>
      <c r="C3291" s="51"/>
      <c r="D3291" s="51"/>
    </row>
    <row r="3292" spans="2:4">
      <c r="B3292" s="51"/>
      <c r="C3292" s="51"/>
      <c r="D3292" s="51"/>
    </row>
    <row r="3293" spans="2:4">
      <c r="B3293" s="51"/>
      <c r="C3293" s="51"/>
      <c r="D3293" s="51"/>
    </row>
    <row r="3294" spans="2:4">
      <c r="B3294" s="51"/>
      <c r="C3294" s="51"/>
      <c r="D3294" s="51"/>
    </row>
    <row r="3295" spans="2:4">
      <c r="B3295" s="51"/>
      <c r="C3295" s="51"/>
      <c r="D3295" s="51"/>
    </row>
    <row r="3296" spans="2:4">
      <c r="B3296" s="51"/>
      <c r="C3296" s="51"/>
      <c r="D3296" s="51"/>
    </row>
    <row r="3297" spans="2:4">
      <c r="B3297" s="51"/>
      <c r="C3297" s="51"/>
      <c r="D3297" s="51"/>
    </row>
    <row r="3298" spans="2:4">
      <c r="B3298" s="51"/>
      <c r="C3298" s="51"/>
      <c r="D3298" s="51"/>
    </row>
    <row r="3299" spans="2:4">
      <c r="B3299" s="51"/>
      <c r="C3299" s="51"/>
      <c r="D3299" s="51"/>
    </row>
    <row r="3300" spans="2:4">
      <c r="B3300" s="51"/>
      <c r="C3300" s="51"/>
      <c r="D3300" s="51"/>
    </row>
    <row r="3301" spans="2:4">
      <c r="B3301" s="51"/>
      <c r="C3301" s="51"/>
      <c r="D3301" s="51"/>
    </row>
    <row r="3302" spans="2:4">
      <c r="B3302" s="51"/>
      <c r="C3302" s="51"/>
      <c r="D3302" s="51"/>
    </row>
    <row r="3303" spans="2:4">
      <c r="B3303" s="51"/>
      <c r="C3303" s="51"/>
      <c r="D3303" s="51"/>
    </row>
    <row r="3304" spans="2:4">
      <c r="B3304" s="51"/>
      <c r="C3304" s="51"/>
      <c r="D3304" s="51"/>
    </row>
    <row r="3305" spans="2:4">
      <c r="B3305" s="51"/>
      <c r="C3305" s="51"/>
      <c r="D3305" s="51"/>
    </row>
    <row r="3306" spans="2:4">
      <c r="B3306" s="51"/>
      <c r="C3306" s="51"/>
      <c r="D3306" s="51"/>
    </row>
    <row r="3307" spans="2:4">
      <c r="B3307" s="51"/>
      <c r="C3307" s="51"/>
      <c r="D3307" s="51"/>
    </row>
    <row r="3308" spans="2:4">
      <c r="B3308" s="51"/>
      <c r="C3308" s="51"/>
      <c r="D3308" s="51"/>
    </row>
    <row r="3309" spans="2:4">
      <c r="B3309" s="51"/>
      <c r="C3309" s="51"/>
      <c r="D3309" s="51"/>
    </row>
    <row r="3310" spans="2:4">
      <c r="B3310" s="51"/>
      <c r="C3310" s="51"/>
      <c r="D3310" s="51"/>
    </row>
    <row r="3311" spans="2:4">
      <c r="B3311" s="51"/>
      <c r="C3311" s="51"/>
      <c r="D3311" s="51"/>
    </row>
    <row r="3312" spans="2:4">
      <c r="B3312" s="51"/>
      <c r="C3312" s="51"/>
      <c r="D3312" s="51"/>
    </row>
    <row r="3313" spans="2:4">
      <c r="B3313" s="51"/>
      <c r="C3313" s="51"/>
      <c r="D3313" s="51"/>
    </row>
    <row r="3314" spans="2:4">
      <c r="B3314" s="51"/>
      <c r="C3314" s="51"/>
      <c r="D3314" s="51"/>
    </row>
    <row r="3315" spans="2:4">
      <c r="B3315" s="51"/>
      <c r="C3315" s="51"/>
      <c r="D3315" s="51"/>
    </row>
    <row r="3316" spans="2:4">
      <c r="B3316" s="51"/>
      <c r="C3316" s="51"/>
      <c r="D3316" s="51"/>
    </row>
    <row r="3317" spans="2:4">
      <c r="B3317" s="51"/>
      <c r="C3317" s="51"/>
      <c r="D3317" s="51"/>
    </row>
    <row r="3318" spans="2:4">
      <c r="B3318" s="51"/>
      <c r="C3318" s="51"/>
      <c r="D3318" s="51"/>
    </row>
    <row r="3319" spans="2:4">
      <c r="B3319" s="51"/>
      <c r="C3319" s="51"/>
      <c r="D3319" s="51"/>
    </row>
    <row r="3320" spans="2:4">
      <c r="B3320" s="51"/>
      <c r="C3320" s="51"/>
      <c r="D3320" s="51"/>
    </row>
    <row r="3321" spans="2:4">
      <c r="B3321" s="51"/>
      <c r="C3321" s="51"/>
      <c r="D3321" s="51"/>
    </row>
    <row r="3322" spans="2:4">
      <c r="B3322" s="51"/>
      <c r="C3322" s="51"/>
      <c r="D3322" s="51"/>
    </row>
    <row r="3323" spans="2:4">
      <c r="B3323" s="51"/>
      <c r="C3323" s="51"/>
      <c r="D3323" s="51"/>
    </row>
    <row r="3324" spans="2:4">
      <c r="B3324" s="51"/>
      <c r="C3324" s="51"/>
      <c r="D3324" s="51"/>
    </row>
    <row r="3325" spans="2:4">
      <c r="B3325" s="51"/>
      <c r="C3325" s="51"/>
      <c r="D3325" s="51"/>
    </row>
    <row r="3326" spans="2:4">
      <c r="B3326" s="51"/>
      <c r="C3326" s="51"/>
      <c r="D3326" s="51"/>
    </row>
    <row r="3327" spans="2:4">
      <c r="B3327" s="51"/>
      <c r="C3327" s="51"/>
      <c r="D3327" s="51"/>
    </row>
    <row r="3328" spans="2:4">
      <c r="B3328" s="51"/>
      <c r="C3328" s="51"/>
      <c r="D3328" s="51"/>
    </row>
    <row r="3329" spans="2:4">
      <c r="B3329" s="51"/>
      <c r="C3329" s="51"/>
      <c r="D3329" s="51"/>
    </row>
    <row r="3330" spans="2:4">
      <c r="B3330" s="51"/>
      <c r="C3330" s="51"/>
      <c r="D3330" s="51"/>
    </row>
    <row r="3331" spans="2:4">
      <c r="B3331" s="51"/>
      <c r="C3331" s="51"/>
      <c r="D3331" s="51"/>
    </row>
    <row r="3332" spans="2:4">
      <c r="B3332" s="51"/>
      <c r="C3332" s="51"/>
      <c r="D3332" s="51"/>
    </row>
    <row r="3333" spans="2:4">
      <c r="B3333" s="51"/>
      <c r="C3333" s="51"/>
      <c r="D3333" s="51"/>
    </row>
    <row r="3334" spans="2:4">
      <c r="B3334" s="51"/>
      <c r="C3334" s="51"/>
      <c r="D3334" s="51"/>
    </row>
    <row r="3335" spans="2:4">
      <c r="B3335" s="51"/>
      <c r="C3335" s="51"/>
      <c r="D3335" s="51"/>
    </row>
    <row r="3336" spans="2:4">
      <c r="B3336" s="51"/>
      <c r="C3336" s="51"/>
      <c r="D3336" s="51"/>
    </row>
    <row r="3337" spans="2:4">
      <c r="B3337" s="51"/>
      <c r="C3337" s="51"/>
      <c r="D3337" s="51"/>
    </row>
    <row r="3338" spans="2:4">
      <c r="B3338" s="51"/>
      <c r="C3338" s="51"/>
      <c r="D3338" s="51"/>
    </row>
    <row r="3339" spans="2:4">
      <c r="B3339" s="51"/>
      <c r="C3339" s="51"/>
      <c r="D3339" s="51"/>
    </row>
    <row r="3340" spans="2:4">
      <c r="B3340" s="51"/>
      <c r="C3340" s="51"/>
      <c r="D3340" s="51"/>
    </row>
    <row r="3341" spans="2:4">
      <c r="B3341" s="51"/>
      <c r="C3341" s="51"/>
      <c r="D3341" s="51"/>
    </row>
    <row r="3342" spans="2:4">
      <c r="B3342" s="51"/>
      <c r="C3342" s="51"/>
      <c r="D3342" s="51"/>
    </row>
    <row r="3343" spans="2:4">
      <c r="B3343" s="51"/>
      <c r="C3343" s="51"/>
      <c r="D3343" s="51"/>
    </row>
    <row r="3344" spans="2:4">
      <c r="B3344" s="51"/>
      <c r="C3344" s="51"/>
      <c r="D3344" s="51"/>
    </row>
    <row r="3345" spans="2:4">
      <c r="B3345" s="51"/>
      <c r="C3345" s="51"/>
      <c r="D3345" s="51"/>
    </row>
    <row r="3346" spans="2:4">
      <c r="B3346" s="51"/>
      <c r="C3346" s="51"/>
      <c r="D3346" s="51"/>
    </row>
    <row r="3347" spans="2:4">
      <c r="B3347" s="51"/>
      <c r="C3347" s="51"/>
      <c r="D3347" s="51"/>
    </row>
    <row r="3348" spans="2:4">
      <c r="B3348" s="51"/>
      <c r="C3348" s="51"/>
      <c r="D3348" s="51"/>
    </row>
    <row r="3349" spans="2:4">
      <c r="B3349" s="51"/>
      <c r="C3349" s="51"/>
      <c r="D3349" s="51"/>
    </row>
    <row r="3350" spans="2:4">
      <c r="B3350" s="51"/>
      <c r="C3350" s="51"/>
      <c r="D3350" s="51"/>
    </row>
    <row r="3351" spans="2:4">
      <c r="B3351" s="51"/>
      <c r="C3351" s="51"/>
      <c r="D3351" s="51"/>
    </row>
    <row r="3352" spans="2:4">
      <c r="B3352" s="51"/>
      <c r="C3352" s="51"/>
      <c r="D3352" s="51"/>
    </row>
    <row r="3353" spans="2:4">
      <c r="B3353" s="51"/>
      <c r="C3353" s="51"/>
      <c r="D3353" s="51"/>
    </row>
    <row r="3354" spans="2:4">
      <c r="B3354" s="51"/>
      <c r="C3354" s="51"/>
      <c r="D3354" s="51"/>
    </row>
    <row r="3355" spans="2:4">
      <c r="B3355" s="51"/>
      <c r="C3355" s="51"/>
      <c r="D3355" s="51"/>
    </row>
    <row r="3356" spans="2:4">
      <c r="B3356" s="51"/>
      <c r="C3356" s="51"/>
      <c r="D3356" s="51"/>
    </row>
    <row r="3357" spans="2:4">
      <c r="B3357" s="51"/>
      <c r="C3357" s="51"/>
      <c r="D3357" s="51"/>
    </row>
    <row r="3358" spans="2:4">
      <c r="B3358" s="51"/>
      <c r="C3358" s="51"/>
      <c r="D3358" s="51"/>
    </row>
    <row r="3359" spans="2:4">
      <c r="B3359" s="51"/>
      <c r="C3359" s="51"/>
      <c r="D3359" s="51"/>
    </row>
    <row r="3360" spans="2:4">
      <c r="B3360" s="51"/>
      <c r="C3360" s="51"/>
      <c r="D3360" s="51"/>
    </row>
    <row r="3361" spans="2:4">
      <c r="B3361" s="51"/>
      <c r="C3361" s="51"/>
      <c r="D3361" s="51"/>
    </row>
    <row r="3362" spans="2:4">
      <c r="B3362" s="51"/>
      <c r="C3362" s="51"/>
      <c r="D3362" s="51"/>
    </row>
    <row r="3363" spans="2:4">
      <c r="B3363" s="51"/>
      <c r="C3363" s="51"/>
      <c r="D3363" s="51"/>
    </row>
    <row r="3364" spans="2:4">
      <c r="B3364" s="51"/>
      <c r="C3364" s="51"/>
      <c r="D3364" s="51"/>
    </row>
    <row r="3365" spans="2:4">
      <c r="B3365" s="51"/>
      <c r="C3365" s="51"/>
      <c r="D3365" s="51"/>
    </row>
    <row r="3366" spans="2:4">
      <c r="B3366" s="51"/>
      <c r="C3366" s="51"/>
      <c r="D3366" s="51"/>
    </row>
    <row r="3367" spans="2:4">
      <c r="B3367" s="51"/>
      <c r="C3367" s="51"/>
      <c r="D3367" s="51"/>
    </row>
    <row r="3368" spans="2:4">
      <c r="B3368" s="51"/>
      <c r="C3368" s="51"/>
      <c r="D3368" s="51"/>
    </row>
    <row r="3369" spans="2:4">
      <c r="B3369" s="51"/>
      <c r="C3369" s="51"/>
      <c r="D3369" s="51"/>
    </row>
    <row r="3370" spans="2:4">
      <c r="B3370" s="51"/>
      <c r="C3370" s="51"/>
      <c r="D3370" s="51"/>
    </row>
    <row r="3371" spans="2:4">
      <c r="B3371" s="51"/>
      <c r="C3371" s="51"/>
      <c r="D3371" s="51"/>
    </row>
    <row r="3372" spans="2:4">
      <c r="B3372" s="51"/>
      <c r="C3372" s="51"/>
      <c r="D3372" s="51"/>
    </row>
    <row r="3373" spans="2:4">
      <c r="B3373" s="51"/>
      <c r="C3373" s="51"/>
      <c r="D3373" s="51"/>
    </row>
    <row r="3374" spans="2:4">
      <c r="B3374" s="51"/>
      <c r="C3374" s="51"/>
      <c r="D3374" s="51"/>
    </row>
    <row r="3375" spans="2:4">
      <c r="B3375" s="51"/>
      <c r="C3375" s="51"/>
      <c r="D3375" s="51"/>
    </row>
    <row r="3376" spans="2:4">
      <c r="B3376" s="51"/>
      <c r="C3376" s="51"/>
      <c r="D3376" s="51"/>
    </row>
    <row r="3377" spans="2:4">
      <c r="B3377" s="51"/>
      <c r="C3377" s="51"/>
      <c r="D3377" s="51"/>
    </row>
    <row r="3378" spans="2:4">
      <c r="B3378" s="51"/>
      <c r="C3378" s="51"/>
      <c r="D3378" s="51"/>
    </row>
    <row r="3379" spans="2:4">
      <c r="B3379" s="51"/>
      <c r="C3379" s="51"/>
      <c r="D3379" s="51"/>
    </row>
    <row r="3380" spans="2:4">
      <c r="B3380" s="51"/>
      <c r="C3380" s="51"/>
      <c r="D3380" s="51"/>
    </row>
    <row r="3381" spans="2:4">
      <c r="B3381" s="51"/>
      <c r="C3381" s="51"/>
      <c r="D3381" s="51"/>
    </row>
    <row r="3382" spans="2:4">
      <c r="B3382" s="51"/>
      <c r="C3382" s="51"/>
      <c r="D3382" s="51"/>
    </row>
    <row r="3383" spans="2:4">
      <c r="B3383" s="51"/>
      <c r="C3383" s="51"/>
      <c r="D3383" s="51"/>
    </row>
    <row r="3384" spans="2:4">
      <c r="B3384" s="51"/>
      <c r="C3384" s="51"/>
      <c r="D3384" s="51"/>
    </row>
    <row r="3385" spans="2:4">
      <c r="B3385" s="51"/>
      <c r="C3385" s="51"/>
      <c r="D3385" s="51"/>
    </row>
    <row r="3386" spans="2:4">
      <c r="B3386" s="51"/>
      <c r="C3386" s="51"/>
      <c r="D3386" s="51"/>
    </row>
    <row r="3387" spans="2:4">
      <c r="B3387" s="51"/>
      <c r="C3387" s="51"/>
      <c r="D3387" s="51"/>
    </row>
    <row r="3388" spans="2:4">
      <c r="B3388" s="51"/>
      <c r="C3388" s="51"/>
      <c r="D3388" s="51"/>
    </row>
    <row r="3389" spans="2:4">
      <c r="B3389" s="51"/>
      <c r="C3389" s="51"/>
      <c r="D3389" s="51"/>
    </row>
    <row r="3390" spans="2:4">
      <c r="B3390" s="51"/>
      <c r="C3390" s="51"/>
      <c r="D3390" s="51"/>
    </row>
    <row r="3391" spans="2:4">
      <c r="B3391" s="51"/>
      <c r="C3391" s="51"/>
      <c r="D3391" s="51"/>
    </row>
    <row r="3392" spans="2:4">
      <c r="B3392" s="51"/>
      <c r="C3392" s="51"/>
      <c r="D3392" s="51"/>
    </row>
    <row r="3393" spans="2:4">
      <c r="B3393" s="51"/>
      <c r="C3393" s="51"/>
      <c r="D3393" s="51"/>
    </row>
    <row r="3394" spans="2:4">
      <c r="B3394" s="51"/>
      <c r="C3394" s="51"/>
      <c r="D3394" s="51"/>
    </row>
    <row r="3395" spans="2:4">
      <c r="B3395" s="51"/>
      <c r="C3395" s="51"/>
      <c r="D3395" s="51"/>
    </row>
    <row r="3396" spans="2:4">
      <c r="B3396" s="51"/>
      <c r="C3396" s="51"/>
      <c r="D3396" s="51"/>
    </row>
    <row r="3397" spans="2:4">
      <c r="B3397" s="51"/>
      <c r="C3397" s="51"/>
      <c r="D3397" s="51"/>
    </row>
    <row r="3398" spans="2:4">
      <c r="B3398" s="51"/>
      <c r="C3398" s="51"/>
      <c r="D3398" s="51"/>
    </row>
    <row r="3399" spans="2:4">
      <c r="B3399" s="51"/>
      <c r="C3399" s="51"/>
      <c r="D3399" s="51"/>
    </row>
    <row r="3400" spans="2:4">
      <c r="B3400" s="51"/>
      <c r="C3400" s="51"/>
      <c r="D3400" s="51"/>
    </row>
    <row r="3401" spans="2:4">
      <c r="B3401" s="51"/>
      <c r="C3401" s="51"/>
      <c r="D3401" s="51"/>
    </row>
    <row r="3402" spans="2:4">
      <c r="B3402" s="51"/>
      <c r="C3402" s="51"/>
      <c r="D3402" s="51"/>
    </row>
    <row r="3403" spans="2:4">
      <c r="B3403" s="51"/>
      <c r="C3403" s="51"/>
      <c r="D3403" s="51"/>
    </row>
    <row r="3404" spans="2:4">
      <c r="B3404" s="51"/>
      <c r="C3404" s="51"/>
      <c r="D3404" s="51"/>
    </row>
    <row r="3405" spans="2:4">
      <c r="B3405" s="51"/>
      <c r="C3405" s="51"/>
      <c r="D3405" s="51"/>
    </row>
    <row r="3406" spans="2:4">
      <c r="B3406" s="51"/>
      <c r="C3406" s="51"/>
      <c r="D3406" s="51"/>
    </row>
    <row r="3407" spans="2:4">
      <c r="B3407" s="51"/>
      <c r="C3407" s="51"/>
      <c r="D3407" s="51"/>
    </row>
    <row r="3408" spans="2:4">
      <c r="B3408" s="51"/>
      <c r="C3408" s="51"/>
      <c r="D3408" s="51"/>
    </row>
    <row r="3409" spans="2:4">
      <c r="B3409" s="51"/>
      <c r="C3409" s="51"/>
      <c r="D3409" s="51"/>
    </row>
    <row r="3410" spans="2:4">
      <c r="B3410" s="51"/>
      <c r="C3410" s="51"/>
      <c r="D3410" s="51"/>
    </row>
    <row r="3411" spans="2:4">
      <c r="B3411" s="51"/>
      <c r="C3411" s="51"/>
      <c r="D3411" s="51"/>
    </row>
    <row r="3412" spans="2:4">
      <c r="B3412" s="51"/>
      <c r="C3412" s="51"/>
      <c r="D3412" s="51"/>
    </row>
    <row r="3413" spans="2:4">
      <c r="B3413" s="51"/>
      <c r="C3413" s="51"/>
      <c r="D3413" s="51"/>
    </row>
    <row r="3414" spans="2:4">
      <c r="B3414" s="51"/>
      <c r="C3414" s="51"/>
      <c r="D3414" s="51"/>
    </row>
    <row r="3415" spans="2:4">
      <c r="B3415" s="51"/>
      <c r="C3415" s="51"/>
      <c r="D3415" s="51"/>
    </row>
    <row r="3416" spans="2:4">
      <c r="B3416" s="51"/>
      <c r="C3416" s="51"/>
      <c r="D3416" s="51"/>
    </row>
    <row r="3417" spans="2:4">
      <c r="B3417" s="51"/>
      <c r="C3417" s="51"/>
      <c r="D3417" s="51"/>
    </row>
    <row r="3418" spans="2:4">
      <c r="B3418" s="51"/>
      <c r="C3418" s="51"/>
      <c r="D3418" s="51"/>
    </row>
    <row r="3419" spans="2:4">
      <c r="B3419" s="51"/>
      <c r="C3419" s="51"/>
      <c r="D3419" s="51"/>
    </row>
    <row r="3420" spans="2:4">
      <c r="B3420" s="51"/>
      <c r="C3420" s="51"/>
      <c r="D3420" s="51"/>
    </row>
    <row r="3421" spans="2:4">
      <c r="B3421" s="51"/>
      <c r="C3421" s="51"/>
      <c r="D3421" s="51"/>
    </row>
    <row r="3422" spans="2:4">
      <c r="B3422" s="51"/>
      <c r="C3422" s="51"/>
      <c r="D3422" s="51"/>
    </row>
    <row r="3423" spans="2:4">
      <c r="B3423" s="51"/>
      <c r="C3423" s="51"/>
      <c r="D3423" s="51"/>
    </row>
    <row r="3424" spans="2:4">
      <c r="B3424" s="51"/>
      <c r="C3424" s="51"/>
      <c r="D3424" s="51"/>
    </row>
    <row r="3425" spans="2:4">
      <c r="B3425" s="51"/>
      <c r="C3425" s="51"/>
      <c r="D3425" s="51"/>
    </row>
    <row r="3426" spans="2:4">
      <c r="B3426" s="51"/>
      <c r="C3426" s="51"/>
      <c r="D3426" s="51"/>
    </row>
    <row r="3427" spans="2:4">
      <c r="B3427" s="51"/>
      <c r="C3427" s="51"/>
      <c r="D3427" s="51"/>
    </row>
    <row r="3428" spans="2:4">
      <c r="B3428" s="51"/>
      <c r="C3428" s="51"/>
      <c r="D3428" s="51"/>
    </row>
    <row r="3429" spans="2:4">
      <c r="B3429" s="51"/>
      <c r="C3429" s="51"/>
      <c r="D3429" s="51"/>
    </row>
    <row r="3430" spans="2:4">
      <c r="B3430" s="51"/>
      <c r="C3430" s="51"/>
      <c r="D3430" s="51"/>
    </row>
    <row r="3431" spans="2:4">
      <c r="B3431" s="51"/>
      <c r="C3431" s="51"/>
      <c r="D3431" s="51"/>
    </row>
    <row r="3432" spans="2:4">
      <c r="B3432" s="51"/>
      <c r="C3432" s="51"/>
      <c r="D3432" s="51"/>
    </row>
    <row r="3433" spans="2:4">
      <c r="B3433" s="51"/>
      <c r="C3433" s="51"/>
      <c r="D3433" s="51"/>
    </row>
    <row r="3434" spans="2:4">
      <c r="B3434" s="51"/>
      <c r="C3434" s="51"/>
      <c r="D3434" s="51"/>
    </row>
    <row r="3435" spans="2:4">
      <c r="B3435" s="51"/>
      <c r="C3435" s="51"/>
      <c r="D3435" s="51"/>
    </row>
    <row r="3436" spans="2:4">
      <c r="B3436" s="51"/>
      <c r="C3436" s="51"/>
      <c r="D3436" s="51"/>
    </row>
    <row r="3437" spans="2:4">
      <c r="B3437" s="51"/>
      <c r="C3437" s="51"/>
      <c r="D3437" s="51"/>
    </row>
    <row r="3438" spans="2:4">
      <c r="B3438" s="51"/>
      <c r="C3438" s="51"/>
      <c r="D3438" s="51"/>
    </row>
    <row r="3439" spans="2:4">
      <c r="B3439" s="51"/>
      <c r="C3439" s="51"/>
      <c r="D3439" s="51"/>
    </row>
    <row r="3440" spans="2:4">
      <c r="B3440" s="51"/>
      <c r="C3440" s="51"/>
      <c r="D3440" s="51"/>
    </row>
    <row r="3441" spans="2:4">
      <c r="B3441" s="51"/>
      <c r="C3441" s="51"/>
      <c r="D3441" s="51"/>
    </row>
    <row r="3442" spans="2:4">
      <c r="B3442" s="51"/>
      <c r="C3442" s="51"/>
      <c r="D3442" s="51"/>
    </row>
    <row r="3443" spans="2:4">
      <c r="B3443" s="51"/>
      <c r="C3443" s="51"/>
      <c r="D3443" s="51"/>
    </row>
    <row r="3444" spans="2:4">
      <c r="B3444" s="51"/>
      <c r="C3444" s="51"/>
      <c r="D3444" s="51"/>
    </row>
    <row r="3445" spans="2:4">
      <c r="B3445" s="51"/>
      <c r="C3445" s="51"/>
      <c r="D3445" s="51"/>
    </row>
    <row r="3446" spans="2:4">
      <c r="B3446" s="51"/>
      <c r="C3446" s="51"/>
      <c r="D3446" s="51"/>
    </row>
    <row r="3447" spans="2:4">
      <c r="B3447" s="51"/>
      <c r="C3447" s="51"/>
      <c r="D3447" s="51"/>
    </row>
    <row r="3448" spans="2:4">
      <c r="B3448" s="51"/>
      <c r="C3448" s="51"/>
      <c r="D3448" s="51"/>
    </row>
    <row r="3449" spans="2:4">
      <c r="B3449" s="51"/>
      <c r="C3449" s="51"/>
      <c r="D3449" s="51"/>
    </row>
    <row r="3450" spans="2:4">
      <c r="B3450" s="51"/>
      <c r="C3450" s="51"/>
      <c r="D3450" s="51"/>
    </row>
    <row r="3451" spans="2:4">
      <c r="B3451" s="51"/>
      <c r="C3451" s="51"/>
      <c r="D3451" s="51"/>
    </row>
    <row r="3452" spans="2:4">
      <c r="B3452" s="51"/>
      <c r="C3452" s="51"/>
      <c r="D3452" s="51"/>
    </row>
    <row r="3453" spans="2:4">
      <c r="B3453" s="51"/>
      <c r="C3453" s="51"/>
      <c r="D3453" s="51"/>
    </row>
    <row r="3454" spans="2:4">
      <c r="B3454" s="51"/>
      <c r="C3454" s="51"/>
      <c r="D3454" s="51"/>
    </row>
    <row r="3455" spans="2:4">
      <c r="B3455" s="51"/>
      <c r="C3455" s="51"/>
      <c r="D3455" s="51"/>
    </row>
    <row r="3456" spans="2:4">
      <c r="B3456" s="51"/>
      <c r="C3456" s="51"/>
      <c r="D3456" s="51"/>
    </row>
    <row r="3457" spans="2:4">
      <c r="B3457" s="51"/>
      <c r="C3457" s="51"/>
      <c r="D3457" s="51"/>
    </row>
    <row r="3458" spans="2:4">
      <c r="B3458" s="51"/>
      <c r="C3458" s="51"/>
      <c r="D3458" s="51"/>
    </row>
    <row r="3459" spans="2:4">
      <c r="B3459" s="51"/>
      <c r="C3459" s="51"/>
      <c r="D3459" s="51"/>
    </row>
    <row r="3460" spans="2:4">
      <c r="B3460" s="51"/>
      <c r="C3460" s="51"/>
      <c r="D3460" s="51"/>
    </row>
    <row r="3461" spans="2:4">
      <c r="B3461" s="51"/>
      <c r="C3461" s="51"/>
      <c r="D3461" s="51"/>
    </row>
    <row r="3462" spans="2:4">
      <c r="B3462" s="51"/>
      <c r="C3462" s="51"/>
      <c r="D3462" s="51"/>
    </row>
    <row r="3463" spans="2:4">
      <c r="B3463" s="51"/>
      <c r="C3463" s="51"/>
      <c r="D3463" s="51"/>
    </row>
    <row r="3464" spans="2:4">
      <c r="B3464" s="51"/>
      <c r="C3464" s="51"/>
      <c r="D3464" s="51"/>
    </row>
    <row r="3465" spans="2:4">
      <c r="B3465" s="51"/>
      <c r="C3465" s="51"/>
      <c r="D3465" s="51"/>
    </row>
    <row r="3466" spans="2:4">
      <c r="B3466" s="51"/>
      <c r="C3466" s="51"/>
      <c r="D3466" s="51"/>
    </row>
    <row r="3467" spans="2:4">
      <c r="B3467" s="51"/>
      <c r="C3467" s="51"/>
      <c r="D3467" s="51"/>
    </row>
    <row r="3468" spans="2:4">
      <c r="B3468" s="51"/>
      <c r="C3468" s="51"/>
      <c r="D3468" s="51"/>
    </row>
    <row r="3469" spans="2:4">
      <c r="B3469" s="51"/>
      <c r="C3469" s="51"/>
      <c r="D3469" s="51"/>
    </row>
    <row r="3470" spans="2:4">
      <c r="B3470" s="51"/>
      <c r="C3470" s="51"/>
      <c r="D3470" s="51"/>
    </row>
    <row r="3471" spans="2:4">
      <c r="B3471" s="51"/>
      <c r="C3471" s="51"/>
      <c r="D3471" s="51"/>
    </row>
    <row r="3472" spans="2:4">
      <c r="B3472" s="51"/>
      <c r="C3472" s="51"/>
      <c r="D3472" s="51"/>
    </row>
    <row r="3473" spans="2:4">
      <c r="B3473" s="51"/>
      <c r="C3473" s="51"/>
      <c r="D3473" s="51"/>
    </row>
    <row r="3474" spans="2:4">
      <c r="B3474" s="51"/>
      <c r="C3474" s="51"/>
      <c r="D3474" s="51"/>
    </row>
    <row r="3475" spans="2:4">
      <c r="B3475" s="51"/>
      <c r="C3475" s="51"/>
      <c r="D3475" s="51"/>
    </row>
    <row r="3476" spans="2:4">
      <c r="B3476" s="51"/>
      <c r="C3476" s="51"/>
      <c r="D3476" s="51"/>
    </row>
    <row r="3477" spans="2:4">
      <c r="B3477" s="51"/>
      <c r="C3477" s="51"/>
      <c r="D3477" s="51"/>
    </row>
    <row r="3478" spans="2:4">
      <c r="B3478" s="51"/>
      <c r="C3478" s="51"/>
      <c r="D3478" s="51"/>
    </row>
    <row r="3479" spans="2:4">
      <c r="B3479" s="51"/>
      <c r="C3479" s="51"/>
      <c r="D3479" s="51"/>
    </row>
    <row r="3480" spans="2:4">
      <c r="B3480" s="51"/>
      <c r="C3480" s="51"/>
      <c r="D3480" s="51"/>
    </row>
    <row r="3481" spans="2:4">
      <c r="B3481" s="51"/>
      <c r="C3481" s="51"/>
      <c r="D3481" s="51"/>
    </row>
    <row r="3482" spans="2:4">
      <c r="B3482" s="51"/>
      <c r="C3482" s="51"/>
      <c r="D3482" s="51"/>
    </row>
    <row r="3483" spans="2:4">
      <c r="B3483" s="51"/>
      <c r="C3483" s="51"/>
      <c r="D3483" s="51"/>
    </row>
    <row r="3484" spans="2:4">
      <c r="B3484" s="51"/>
      <c r="C3484" s="51"/>
      <c r="D3484" s="51"/>
    </row>
    <row r="3485" spans="2:4">
      <c r="B3485" s="51"/>
      <c r="C3485" s="51"/>
      <c r="D3485" s="51"/>
    </row>
    <row r="3486" spans="2:4">
      <c r="B3486" s="51"/>
      <c r="C3486" s="51"/>
      <c r="D3486" s="51"/>
    </row>
    <row r="3487" spans="2:4">
      <c r="B3487" s="51"/>
      <c r="C3487" s="51"/>
      <c r="D3487" s="51"/>
    </row>
    <row r="3488" spans="2:4">
      <c r="B3488" s="51"/>
      <c r="C3488" s="51"/>
      <c r="D3488" s="51"/>
    </row>
    <row r="3489" spans="2:4">
      <c r="B3489" s="51"/>
      <c r="C3489" s="51"/>
      <c r="D3489" s="51"/>
    </row>
    <row r="3490" spans="2:4">
      <c r="B3490" s="51"/>
      <c r="C3490" s="51"/>
      <c r="D3490" s="51"/>
    </row>
    <row r="3491" spans="2:4">
      <c r="B3491" s="51"/>
      <c r="C3491" s="51"/>
      <c r="D3491" s="51"/>
    </row>
    <row r="3492" spans="2:4">
      <c r="B3492" s="51"/>
      <c r="C3492" s="51"/>
      <c r="D3492" s="51"/>
    </row>
    <row r="3493" spans="2:4">
      <c r="B3493" s="51"/>
      <c r="C3493" s="51"/>
      <c r="D3493" s="51"/>
    </row>
    <row r="3494" spans="2:4">
      <c r="B3494" s="51"/>
      <c r="C3494" s="51"/>
      <c r="D3494" s="51"/>
    </row>
    <row r="3495" spans="2:4">
      <c r="B3495" s="51"/>
      <c r="C3495" s="51"/>
      <c r="D3495" s="51"/>
    </row>
    <row r="3496" spans="2:4">
      <c r="B3496" s="51"/>
      <c r="C3496" s="51"/>
      <c r="D3496" s="51"/>
    </row>
    <row r="3497" spans="2:4">
      <c r="B3497" s="51"/>
      <c r="C3497" s="51"/>
      <c r="D3497" s="51"/>
    </row>
    <row r="3498" spans="2:4">
      <c r="B3498" s="51"/>
      <c r="C3498" s="51"/>
      <c r="D3498" s="51"/>
    </row>
    <row r="3499" spans="2:4">
      <c r="B3499" s="51"/>
      <c r="C3499" s="51"/>
      <c r="D3499" s="51"/>
    </row>
    <row r="3500" spans="2:4">
      <c r="B3500" s="51"/>
      <c r="C3500" s="51"/>
      <c r="D3500" s="51"/>
    </row>
    <row r="3501" spans="2:4">
      <c r="B3501" s="51"/>
      <c r="C3501" s="51"/>
      <c r="D3501" s="51"/>
    </row>
    <row r="3502" spans="2:4">
      <c r="B3502" s="51"/>
      <c r="C3502" s="51"/>
      <c r="D3502" s="51"/>
    </row>
    <row r="3503" spans="2:4">
      <c r="B3503" s="51"/>
      <c r="C3503" s="51"/>
      <c r="D3503" s="51"/>
    </row>
    <row r="3504" spans="2:4">
      <c r="B3504" s="51"/>
      <c r="C3504" s="51"/>
      <c r="D3504" s="51"/>
    </row>
    <row r="3505" spans="2:4">
      <c r="B3505" s="51"/>
      <c r="C3505" s="51"/>
      <c r="D3505" s="51"/>
    </row>
    <row r="3506" spans="2:4">
      <c r="B3506" s="51"/>
      <c r="C3506" s="51"/>
      <c r="D3506" s="51"/>
    </row>
    <row r="3507" spans="2:4">
      <c r="B3507" s="51"/>
      <c r="C3507" s="51"/>
      <c r="D3507" s="51"/>
    </row>
    <row r="3508" spans="2:4">
      <c r="B3508" s="51"/>
      <c r="C3508" s="51"/>
      <c r="D3508" s="51"/>
    </row>
    <row r="3509" spans="2:4">
      <c r="B3509" s="51"/>
      <c r="C3509" s="51"/>
      <c r="D3509" s="51"/>
    </row>
    <row r="3510" spans="2:4">
      <c r="B3510" s="51"/>
      <c r="C3510" s="51"/>
      <c r="D3510" s="51"/>
    </row>
    <row r="3511" spans="2:4">
      <c r="B3511" s="51"/>
      <c r="C3511" s="51"/>
      <c r="D3511" s="51"/>
    </row>
    <row r="3512" spans="2:4">
      <c r="B3512" s="51"/>
      <c r="C3512" s="51"/>
      <c r="D3512" s="51"/>
    </row>
    <row r="3513" spans="2:4">
      <c r="B3513" s="51"/>
      <c r="C3513" s="51"/>
      <c r="D3513" s="51"/>
    </row>
    <row r="3514" spans="2:4">
      <c r="B3514" s="51"/>
      <c r="C3514" s="51"/>
      <c r="D3514" s="51"/>
    </row>
    <row r="3515" spans="2:4">
      <c r="B3515" s="51"/>
      <c r="C3515" s="51"/>
      <c r="D3515" s="51"/>
    </row>
    <row r="3516" spans="2:4">
      <c r="B3516" s="51"/>
      <c r="C3516" s="51"/>
      <c r="D3516" s="51"/>
    </row>
    <row r="3517" spans="2:4">
      <c r="B3517" s="51"/>
      <c r="C3517" s="51"/>
      <c r="D3517" s="51"/>
    </row>
    <row r="3518" spans="2:4">
      <c r="B3518" s="51"/>
      <c r="C3518" s="51"/>
      <c r="D3518" s="51"/>
    </row>
    <row r="3519" spans="2:4">
      <c r="B3519" s="51"/>
      <c r="C3519" s="51"/>
      <c r="D3519" s="51"/>
    </row>
    <row r="3520" spans="2:4">
      <c r="B3520" s="51"/>
      <c r="C3520" s="51"/>
      <c r="D3520" s="51"/>
    </row>
    <row r="3521" spans="2:4">
      <c r="B3521" s="51"/>
      <c r="C3521" s="51"/>
      <c r="D3521" s="51"/>
    </row>
    <row r="3522" spans="2:4">
      <c r="B3522" s="51"/>
      <c r="C3522" s="51"/>
      <c r="D3522" s="51"/>
    </row>
    <row r="3523" spans="2:4">
      <c r="B3523" s="51"/>
      <c r="C3523" s="51"/>
      <c r="D3523" s="51"/>
    </row>
    <row r="3524" spans="2:4">
      <c r="B3524" s="51"/>
      <c r="C3524" s="51"/>
      <c r="D3524" s="51"/>
    </row>
    <row r="3525" spans="2:4">
      <c r="B3525" s="51"/>
      <c r="C3525" s="51"/>
      <c r="D3525" s="51"/>
    </row>
    <row r="3526" spans="2:4">
      <c r="B3526" s="51"/>
      <c r="C3526" s="51"/>
      <c r="D3526" s="51"/>
    </row>
    <row r="3527" spans="2:4">
      <c r="B3527" s="51"/>
      <c r="C3527" s="51"/>
      <c r="D3527" s="51"/>
    </row>
    <row r="3528" spans="2:4">
      <c r="B3528" s="51"/>
      <c r="C3528" s="51"/>
      <c r="D3528" s="51"/>
    </row>
    <row r="3529" spans="2:4">
      <c r="B3529" s="51"/>
      <c r="C3529" s="51"/>
      <c r="D3529" s="51"/>
    </row>
    <row r="3530" spans="2:4">
      <c r="B3530" s="51"/>
      <c r="C3530" s="51"/>
      <c r="D3530" s="51"/>
    </row>
    <row r="3531" spans="2:4">
      <c r="B3531" s="51"/>
      <c r="C3531" s="51"/>
      <c r="D3531" s="51"/>
    </row>
    <row r="3532" spans="2:4">
      <c r="B3532" s="51"/>
      <c r="C3532" s="51"/>
      <c r="D3532" s="51"/>
    </row>
    <row r="3533" spans="2:4">
      <c r="B3533" s="51"/>
      <c r="C3533" s="51"/>
      <c r="D3533" s="51"/>
    </row>
    <row r="3534" spans="2:4">
      <c r="B3534" s="51"/>
      <c r="C3534" s="51"/>
      <c r="D3534" s="51"/>
    </row>
    <row r="3535" spans="2:4">
      <c r="B3535" s="51"/>
      <c r="C3535" s="51"/>
      <c r="D3535" s="51"/>
    </row>
    <row r="3536" spans="2:4">
      <c r="B3536" s="51"/>
      <c r="C3536" s="51"/>
      <c r="D3536" s="51"/>
    </row>
    <row r="3537" spans="2:4">
      <c r="B3537" s="51"/>
      <c r="C3537" s="51"/>
      <c r="D3537" s="51"/>
    </row>
    <row r="3538" spans="2:4">
      <c r="B3538" s="51"/>
      <c r="C3538" s="51"/>
      <c r="D3538" s="51"/>
    </row>
    <row r="3539" spans="2:4">
      <c r="B3539" s="51"/>
      <c r="C3539" s="51"/>
      <c r="D3539" s="51"/>
    </row>
    <row r="3540" spans="2:4">
      <c r="B3540" s="51"/>
      <c r="C3540" s="51"/>
      <c r="D3540" s="51"/>
    </row>
    <row r="3541" spans="2:4">
      <c r="B3541" s="51"/>
      <c r="C3541" s="51"/>
      <c r="D3541" s="51"/>
    </row>
    <row r="3542" spans="2:4">
      <c r="B3542" s="51"/>
      <c r="C3542" s="51"/>
      <c r="D3542" s="51"/>
    </row>
    <row r="3543" spans="2:4">
      <c r="B3543" s="51"/>
      <c r="C3543" s="51"/>
      <c r="D3543" s="51"/>
    </row>
    <row r="3544" spans="2:4">
      <c r="B3544" s="51"/>
      <c r="C3544" s="51"/>
      <c r="D3544" s="51"/>
    </row>
    <row r="3545" spans="2:4">
      <c r="B3545" s="51"/>
      <c r="C3545" s="51"/>
      <c r="D3545" s="51"/>
    </row>
    <row r="3546" spans="2:4">
      <c r="B3546" s="51"/>
      <c r="C3546" s="51"/>
      <c r="D3546" s="51"/>
    </row>
    <row r="3547" spans="2:4">
      <c r="B3547" s="51"/>
      <c r="C3547" s="51"/>
      <c r="D3547" s="51"/>
    </row>
    <row r="3548" spans="2:4">
      <c r="B3548" s="51"/>
      <c r="C3548" s="51"/>
      <c r="D3548" s="51"/>
    </row>
    <row r="3549" spans="2:4">
      <c r="B3549" s="51"/>
      <c r="C3549" s="51"/>
      <c r="D3549" s="51"/>
    </row>
    <row r="3550" spans="2:4">
      <c r="B3550" s="51"/>
      <c r="C3550" s="51"/>
      <c r="D3550" s="51"/>
    </row>
    <row r="3551" spans="2:4">
      <c r="B3551" s="51"/>
      <c r="C3551" s="51"/>
      <c r="D3551" s="51"/>
    </row>
    <row r="3552" spans="2:4">
      <c r="B3552" s="51"/>
      <c r="C3552" s="51"/>
      <c r="D3552" s="51"/>
    </row>
    <row r="3553" spans="2:4">
      <c r="B3553" s="51"/>
      <c r="C3553" s="51"/>
      <c r="D3553" s="51"/>
    </row>
    <row r="3554" spans="2:4">
      <c r="B3554" s="51"/>
      <c r="C3554" s="51"/>
      <c r="D3554" s="51"/>
    </row>
    <row r="3555" spans="2:4">
      <c r="B3555" s="51"/>
      <c r="C3555" s="51"/>
      <c r="D3555" s="51"/>
    </row>
    <row r="3556" spans="2:4">
      <c r="B3556" s="51"/>
      <c r="C3556" s="51"/>
      <c r="D3556" s="51"/>
    </row>
    <row r="3557" spans="2:4">
      <c r="B3557" s="51"/>
      <c r="C3557" s="51"/>
      <c r="D3557" s="51"/>
    </row>
    <row r="3558" spans="2:4">
      <c r="B3558" s="51"/>
      <c r="C3558" s="51"/>
      <c r="D3558" s="51"/>
    </row>
    <row r="3559" spans="2:4">
      <c r="B3559" s="51"/>
      <c r="C3559" s="51"/>
      <c r="D3559" s="51"/>
    </row>
    <row r="3560" spans="2:4">
      <c r="B3560" s="51"/>
      <c r="C3560" s="51"/>
      <c r="D3560" s="51"/>
    </row>
    <row r="3561" spans="2:4">
      <c r="B3561" s="51"/>
      <c r="C3561" s="51"/>
      <c r="D3561" s="51"/>
    </row>
    <row r="3562" spans="2:4">
      <c r="B3562" s="51"/>
      <c r="C3562" s="51"/>
      <c r="D3562" s="51"/>
    </row>
    <row r="3563" spans="2:4">
      <c r="B3563" s="51"/>
      <c r="C3563" s="51"/>
      <c r="D3563" s="51"/>
    </row>
    <row r="3564" spans="2:4">
      <c r="B3564" s="51"/>
      <c r="C3564" s="51"/>
      <c r="D3564" s="51"/>
    </row>
    <row r="3565" spans="2:4">
      <c r="B3565" s="51"/>
      <c r="C3565" s="51"/>
      <c r="D3565" s="51"/>
    </row>
    <row r="3566" spans="2:4">
      <c r="B3566" s="51"/>
      <c r="C3566" s="51"/>
      <c r="D3566" s="51"/>
    </row>
    <row r="3567" spans="2:4">
      <c r="B3567" s="51"/>
      <c r="C3567" s="51"/>
      <c r="D3567" s="51"/>
    </row>
    <row r="3568" spans="2:4">
      <c r="B3568" s="51"/>
      <c r="C3568" s="51"/>
      <c r="D3568" s="51"/>
    </row>
    <row r="3569" spans="2:4">
      <c r="B3569" s="51"/>
      <c r="C3569" s="51"/>
      <c r="D3569" s="51"/>
    </row>
    <row r="3570" spans="2:4">
      <c r="B3570" s="51"/>
      <c r="C3570" s="51"/>
      <c r="D3570" s="51"/>
    </row>
    <row r="3571" spans="2:4">
      <c r="B3571" s="51"/>
      <c r="C3571" s="51"/>
      <c r="D3571" s="51"/>
    </row>
    <row r="3572" spans="2:4">
      <c r="B3572" s="51"/>
      <c r="C3572" s="51"/>
      <c r="D3572" s="51"/>
    </row>
    <row r="3573" spans="2:4">
      <c r="B3573" s="51"/>
      <c r="C3573" s="51"/>
      <c r="D3573" s="51"/>
    </row>
    <row r="3574" spans="2:4">
      <c r="B3574" s="51"/>
      <c r="C3574" s="51"/>
      <c r="D3574" s="51"/>
    </row>
    <row r="3575" spans="2:4">
      <c r="B3575" s="51"/>
      <c r="C3575" s="51"/>
      <c r="D3575" s="51"/>
    </row>
    <row r="3576" spans="2:4">
      <c r="B3576" s="51"/>
      <c r="C3576" s="51"/>
      <c r="D3576" s="51"/>
    </row>
    <row r="3577" spans="2:4">
      <c r="B3577" s="51"/>
      <c r="C3577" s="51"/>
      <c r="D3577" s="51"/>
    </row>
    <row r="3578" spans="2:4">
      <c r="B3578" s="51"/>
      <c r="C3578" s="51"/>
      <c r="D3578" s="51"/>
    </row>
    <row r="3579" spans="2:4">
      <c r="B3579" s="51"/>
      <c r="C3579" s="51"/>
      <c r="D3579" s="51"/>
    </row>
    <row r="3580" spans="2:4">
      <c r="B3580" s="51"/>
      <c r="C3580" s="51"/>
      <c r="D3580" s="51"/>
    </row>
    <row r="3581" spans="2:4">
      <c r="B3581" s="51"/>
      <c r="C3581" s="51"/>
      <c r="D3581" s="51"/>
    </row>
    <row r="3582" spans="2:4">
      <c r="B3582" s="51"/>
      <c r="C3582" s="51"/>
      <c r="D3582" s="51"/>
    </row>
    <row r="3583" spans="2:4">
      <c r="B3583" s="51"/>
      <c r="C3583" s="51"/>
      <c r="D3583" s="51"/>
    </row>
    <row r="3584" spans="2:4">
      <c r="B3584" s="51"/>
      <c r="C3584" s="51"/>
      <c r="D3584" s="51"/>
    </row>
    <row r="3585" spans="2:4">
      <c r="B3585" s="51"/>
      <c r="C3585" s="51"/>
      <c r="D3585" s="51"/>
    </row>
    <row r="3586" spans="2:4">
      <c r="B3586" s="51"/>
      <c r="C3586" s="51"/>
      <c r="D3586" s="51"/>
    </row>
    <row r="3587" spans="2:4">
      <c r="B3587" s="51"/>
      <c r="C3587" s="51"/>
      <c r="D3587" s="51"/>
    </row>
    <row r="3588" spans="2:4">
      <c r="B3588" s="51"/>
      <c r="C3588" s="51"/>
      <c r="D3588" s="51"/>
    </row>
    <row r="3589" spans="2:4">
      <c r="B3589" s="51"/>
      <c r="C3589" s="51"/>
      <c r="D3589" s="51"/>
    </row>
    <row r="3590" spans="2:4">
      <c r="B3590" s="51"/>
      <c r="C3590" s="51"/>
      <c r="D3590" s="51"/>
    </row>
    <row r="3591" spans="2:4">
      <c r="B3591" s="51"/>
      <c r="C3591" s="51"/>
      <c r="D3591" s="51"/>
    </row>
    <row r="3592" spans="2:4">
      <c r="B3592" s="51"/>
      <c r="C3592" s="51"/>
      <c r="D3592" s="51"/>
    </row>
    <row r="3593" spans="2:4">
      <c r="B3593" s="51"/>
      <c r="C3593" s="51"/>
      <c r="D3593" s="51"/>
    </row>
    <row r="3594" spans="2:4">
      <c r="B3594" s="51"/>
      <c r="C3594" s="51"/>
      <c r="D3594" s="51"/>
    </row>
    <row r="3595" spans="2:4">
      <c r="B3595" s="51"/>
      <c r="C3595" s="51"/>
      <c r="D3595" s="51"/>
    </row>
    <row r="3596" spans="2:4">
      <c r="B3596" s="51"/>
      <c r="C3596" s="51"/>
      <c r="D3596" s="51"/>
    </row>
    <row r="3597" spans="2:4">
      <c r="B3597" s="51"/>
      <c r="C3597" s="51"/>
      <c r="D3597" s="51"/>
    </row>
    <row r="3598" spans="2:4">
      <c r="B3598" s="51"/>
      <c r="C3598" s="51"/>
      <c r="D3598" s="51"/>
    </row>
    <row r="3599" spans="2:4">
      <c r="B3599" s="51"/>
      <c r="C3599" s="51"/>
      <c r="D3599" s="51"/>
    </row>
    <row r="3600" spans="2:4">
      <c r="B3600" s="51"/>
      <c r="C3600" s="51"/>
      <c r="D3600" s="51"/>
    </row>
    <row r="3601" spans="2:4">
      <c r="B3601" s="51"/>
      <c r="C3601" s="51"/>
      <c r="D3601" s="51"/>
    </row>
    <row r="3602" spans="2:4">
      <c r="B3602" s="51"/>
      <c r="C3602" s="51"/>
      <c r="D3602" s="51"/>
    </row>
    <row r="3603" spans="2:4">
      <c r="B3603" s="51"/>
      <c r="C3603" s="51"/>
      <c r="D3603" s="51"/>
    </row>
    <row r="3604" spans="2:4">
      <c r="B3604" s="51"/>
      <c r="C3604" s="51"/>
      <c r="D3604" s="51"/>
    </row>
    <row r="3605" spans="2:4">
      <c r="B3605" s="51"/>
      <c r="C3605" s="51"/>
      <c r="D3605" s="51"/>
    </row>
    <row r="3606" spans="2:4">
      <c r="B3606" s="51"/>
      <c r="C3606" s="51"/>
      <c r="D3606" s="51"/>
    </row>
    <row r="3607" spans="2:4">
      <c r="B3607" s="51"/>
      <c r="C3607" s="51"/>
      <c r="D3607" s="51"/>
    </row>
    <row r="3608" spans="2:4">
      <c r="B3608" s="51"/>
      <c r="C3608" s="51"/>
      <c r="D3608" s="51"/>
    </row>
    <row r="3609" spans="2:4">
      <c r="B3609" s="51"/>
      <c r="C3609" s="51"/>
      <c r="D3609" s="51"/>
    </row>
    <row r="3610" spans="2:4">
      <c r="B3610" s="51"/>
      <c r="C3610" s="51"/>
      <c r="D3610" s="51"/>
    </row>
    <row r="3611" spans="2:4">
      <c r="B3611" s="51"/>
      <c r="C3611" s="51"/>
      <c r="D3611" s="51"/>
    </row>
    <row r="3612" spans="2:4">
      <c r="B3612" s="51"/>
      <c r="C3612" s="51"/>
      <c r="D3612" s="51"/>
    </row>
    <row r="3613" spans="2:4">
      <c r="B3613" s="51"/>
      <c r="C3613" s="51"/>
      <c r="D3613" s="51"/>
    </row>
    <row r="3614" spans="2:4">
      <c r="B3614" s="51"/>
      <c r="C3614" s="51"/>
      <c r="D3614" s="51"/>
    </row>
    <row r="3615" spans="2:4">
      <c r="B3615" s="51"/>
      <c r="C3615" s="51"/>
      <c r="D3615" s="51"/>
    </row>
    <row r="3616" spans="2:4">
      <c r="B3616" s="51"/>
      <c r="C3616" s="51"/>
      <c r="D3616" s="51"/>
    </row>
    <row r="3617" spans="2:4">
      <c r="B3617" s="51"/>
      <c r="C3617" s="51"/>
      <c r="D3617" s="51"/>
    </row>
    <row r="3618" spans="2:4">
      <c r="B3618" s="51"/>
      <c r="C3618" s="51"/>
      <c r="D3618" s="51"/>
    </row>
    <row r="3619" spans="2:4">
      <c r="B3619" s="51"/>
      <c r="C3619" s="51"/>
      <c r="D3619" s="51"/>
    </row>
    <row r="3620" spans="2:4">
      <c r="B3620" s="51"/>
      <c r="C3620" s="51"/>
      <c r="D3620" s="51"/>
    </row>
    <row r="3621" spans="2:4">
      <c r="B3621" s="51"/>
      <c r="C3621" s="51"/>
      <c r="D3621" s="51"/>
    </row>
    <row r="3622" spans="2:4">
      <c r="B3622" s="51"/>
      <c r="C3622" s="51"/>
      <c r="D3622" s="51"/>
    </row>
    <row r="3623" spans="2:4">
      <c r="B3623" s="51"/>
      <c r="C3623" s="51"/>
      <c r="D3623" s="51"/>
    </row>
    <row r="3624" spans="2:4">
      <c r="B3624" s="51"/>
      <c r="C3624" s="51"/>
      <c r="D3624" s="51"/>
    </row>
    <row r="3625" spans="2:4">
      <c r="B3625" s="51"/>
      <c r="C3625" s="51"/>
      <c r="D3625" s="51"/>
    </row>
    <row r="3626" spans="2:4">
      <c r="B3626" s="51"/>
      <c r="C3626" s="51"/>
      <c r="D3626" s="51"/>
    </row>
    <row r="3627" spans="2:4">
      <c r="B3627" s="51"/>
      <c r="C3627" s="51"/>
      <c r="D3627" s="51"/>
    </row>
    <row r="3628" spans="2:4">
      <c r="B3628" s="51"/>
      <c r="C3628" s="51"/>
      <c r="D3628" s="51"/>
    </row>
    <row r="3629" spans="2:4">
      <c r="B3629" s="51"/>
      <c r="C3629" s="51"/>
      <c r="D3629" s="51"/>
    </row>
    <row r="3630" spans="2:4">
      <c r="B3630" s="51"/>
      <c r="C3630" s="51"/>
      <c r="D3630" s="51"/>
    </row>
    <row r="3631" spans="2:4">
      <c r="B3631" s="51"/>
      <c r="C3631" s="51"/>
      <c r="D3631" s="51"/>
    </row>
    <row r="3632" spans="2:4">
      <c r="B3632" s="51"/>
      <c r="C3632" s="51"/>
      <c r="D3632" s="51"/>
    </row>
    <row r="3633" spans="2:4">
      <c r="B3633" s="51"/>
      <c r="C3633" s="51"/>
      <c r="D3633" s="51"/>
    </row>
    <row r="3634" spans="2:4">
      <c r="B3634" s="51"/>
      <c r="C3634" s="51"/>
      <c r="D3634" s="51"/>
    </row>
    <row r="3635" spans="2:4">
      <c r="B3635" s="51"/>
      <c r="C3635" s="51"/>
      <c r="D3635" s="51"/>
    </row>
    <row r="3636" spans="2:4">
      <c r="B3636" s="51"/>
      <c r="C3636" s="51"/>
      <c r="D3636" s="51"/>
    </row>
    <row r="3637" spans="2:4">
      <c r="B3637" s="51"/>
      <c r="C3637" s="51"/>
      <c r="D3637" s="51"/>
    </row>
    <row r="3638" spans="2:4">
      <c r="B3638" s="51"/>
      <c r="C3638" s="51"/>
      <c r="D3638" s="51"/>
    </row>
    <row r="3639" spans="2:4">
      <c r="B3639" s="51"/>
      <c r="C3639" s="51"/>
      <c r="D3639" s="51"/>
    </row>
    <row r="3640" spans="2:4">
      <c r="B3640" s="51"/>
      <c r="C3640" s="51"/>
      <c r="D3640" s="51"/>
    </row>
    <row r="3641" spans="2:4">
      <c r="B3641" s="51"/>
      <c r="C3641" s="51"/>
      <c r="D3641" s="51"/>
    </row>
    <row r="3642" spans="2:4">
      <c r="B3642" s="51"/>
      <c r="C3642" s="51"/>
      <c r="D3642" s="51"/>
    </row>
    <row r="3643" spans="2:4">
      <c r="B3643" s="51"/>
      <c r="C3643" s="51"/>
      <c r="D3643" s="51"/>
    </row>
    <row r="3644" spans="2:4">
      <c r="B3644" s="51"/>
      <c r="C3644" s="51"/>
      <c r="D3644" s="51"/>
    </row>
    <row r="3645" spans="2:4">
      <c r="B3645" s="51"/>
      <c r="C3645" s="51"/>
      <c r="D3645" s="51"/>
    </row>
    <row r="3646" spans="2:4">
      <c r="B3646" s="51"/>
      <c r="C3646" s="51"/>
      <c r="D3646" s="51"/>
    </row>
    <row r="3647" spans="2:4">
      <c r="B3647" s="51"/>
      <c r="C3647" s="51"/>
      <c r="D3647" s="51"/>
    </row>
    <row r="3648" spans="2:4">
      <c r="B3648" s="51"/>
      <c r="C3648" s="51"/>
      <c r="D3648" s="51"/>
    </row>
    <row r="3649" spans="2:4">
      <c r="B3649" s="51"/>
      <c r="C3649" s="51"/>
      <c r="D3649" s="51"/>
    </row>
    <row r="3650" spans="2:4">
      <c r="B3650" s="51"/>
      <c r="C3650" s="51"/>
      <c r="D3650" s="51"/>
    </row>
    <row r="3651" spans="2:4">
      <c r="B3651" s="51"/>
      <c r="C3651" s="51"/>
      <c r="D3651" s="51"/>
    </row>
    <row r="3652" spans="2:4">
      <c r="B3652" s="51"/>
      <c r="C3652" s="51"/>
      <c r="D3652" s="51"/>
    </row>
    <row r="3653" spans="2:4">
      <c r="B3653" s="51"/>
      <c r="C3653" s="51"/>
      <c r="D3653" s="51"/>
    </row>
    <row r="3654" spans="2:4">
      <c r="B3654" s="51"/>
      <c r="C3654" s="51"/>
      <c r="D3654" s="51"/>
    </row>
    <row r="3655" spans="2:4">
      <c r="B3655" s="51"/>
      <c r="C3655" s="51"/>
      <c r="D3655" s="51"/>
    </row>
    <row r="3656" spans="2:4">
      <c r="B3656" s="51"/>
      <c r="C3656" s="51"/>
      <c r="D3656" s="51"/>
    </row>
    <row r="3657" spans="2:4">
      <c r="B3657" s="51"/>
      <c r="C3657" s="51"/>
      <c r="D3657" s="51"/>
    </row>
    <row r="3658" spans="2:4">
      <c r="B3658" s="51"/>
      <c r="C3658" s="51"/>
      <c r="D3658" s="51"/>
    </row>
    <row r="3659" spans="2:4">
      <c r="B3659" s="51"/>
      <c r="C3659" s="51"/>
      <c r="D3659" s="51"/>
    </row>
    <row r="3660" spans="2:4">
      <c r="B3660" s="51"/>
      <c r="C3660" s="51"/>
      <c r="D3660" s="51"/>
    </row>
    <row r="3661" spans="2:4">
      <c r="B3661" s="51"/>
      <c r="C3661" s="51"/>
      <c r="D3661" s="51"/>
    </row>
    <row r="3662" spans="2:4">
      <c r="B3662" s="51"/>
      <c r="C3662" s="51"/>
      <c r="D3662" s="51"/>
    </row>
    <row r="3663" spans="2:4">
      <c r="B3663" s="51"/>
      <c r="C3663" s="51"/>
      <c r="D3663" s="51"/>
    </row>
    <row r="3664" spans="2:4">
      <c r="B3664" s="51"/>
      <c r="C3664" s="51"/>
      <c r="D3664" s="51"/>
    </row>
    <row r="3665" spans="2:4">
      <c r="B3665" s="51"/>
      <c r="C3665" s="51"/>
      <c r="D3665" s="51"/>
    </row>
    <row r="3666" spans="2:4">
      <c r="B3666" s="51"/>
      <c r="C3666" s="51"/>
      <c r="D3666" s="51"/>
    </row>
    <row r="3667" spans="2:4">
      <c r="B3667" s="51"/>
      <c r="C3667" s="51"/>
      <c r="D3667" s="51"/>
    </row>
    <row r="3668" spans="2:4">
      <c r="B3668" s="51"/>
      <c r="C3668" s="51"/>
      <c r="D3668" s="51"/>
    </row>
    <row r="3669" spans="2:4">
      <c r="B3669" s="51"/>
      <c r="C3669" s="51"/>
      <c r="D3669" s="51"/>
    </row>
    <row r="3670" spans="2:4">
      <c r="B3670" s="51"/>
      <c r="C3670" s="51"/>
      <c r="D3670" s="51"/>
    </row>
    <row r="3671" spans="2:4">
      <c r="B3671" s="51"/>
      <c r="C3671" s="51"/>
      <c r="D3671" s="51"/>
    </row>
    <row r="3672" spans="2:4">
      <c r="B3672" s="51"/>
      <c r="C3672" s="51"/>
      <c r="D3672" s="51"/>
    </row>
    <row r="3673" spans="2:4">
      <c r="B3673" s="51"/>
      <c r="C3673" s="51"/>
      <c r="D3673" s="51"/>
    </row>
    <row r="3674" spans="2:4">
      <c r="B3674" s="51"/>
      <c r="C3674" s="51"/>
      <c r="D3674" s="51"/>
    </row>
    <row r="3675" spans="2:4">
      <c r="B3675" s="51"/>
      <c r="C3675" s="51"/>
      <c r="D3675" s="51"/>
    </row>
    <row r="3676" spans="2:4">
      <c r="B3676" s="51"/>
      <c r="C3676" s="51"/>
      <c r="D3676" s="51"/>
    </row>
    <row r="3677" spans="2:4">
      <c r="B3677" s="51"/>
      <c r="C3677" s="51"/>
      <c r="D3677" s="51"/>
    </row>
    <row r="3678" spans="2:4">
      <c r="B3678" s="51"/>
      <c r="C3678" s="51"/>
      <c r="D3678" s="51"/>
    </row>
    <row r="3679" spans="2:4">
      <c r="B3679" s="51"/>
      <c r="C3679" s="51"/>
      <c r="D3679" s="51"/>
    </row>
    <row r="3680" spans="2:4">
      <c r="B3680" s="51"/>
      <c r="C3680" s="51"/>
      <c r="D3680" s="51"/>
    </row>
    <row r="3681" spans="2:4">
      <c r="B3681" s="51"/>
      <c r="C3681" s="51"/>
      <c r="D3681" s="51"/>
    </row>
    <row r="3682" spans="2:4">
      <c r="B3682" s="51"/>
      <c r="C3682" s="51"/>
      <c r="D3682" s="51"/>
    </row>
    <row r="3683" spans="2:4">
      <c r="B3683" s="51"/>
      <c r="C3683" s="51"/>
      <c r="D3683" s="51"/>
    </row>
    <row r="3684" spans="2:4">
      <c r="B3684" s="51"/>
      <c r="C3684" s="51"/>
      <c r="D3684" s="51"/>
    </row>
    <row r="3685" spans="2:4">
      <c r="B3685" s="51"/>
      <c r="C3685" s="51"/>
      <c r="D3685" s="51"/>
    </row>
    <row r="3686" spans="2:4">
      <c r="B3686" s="51"/>
      <c r="C3686" s="51"/>
      <c r="D3686" s="51"/>
    </row>
    <row r="3687" spans="2:4">
      <c r="B3687" s="51"/>
      <c r="C3687" s="51"/>
      <c r="D3687" s="51"/>
    </row>
    <row r="3688" spans="2:4">
      <c r="B3688" s="51"/>
      <c r="C3688" s="51"/>
      <c r="D3688" s="51"/>
    </row>
    <row r="3689" spans="2:4">
      <c r="B3689" s="51"/>
      <c r="C3689" s="51"/>
      <c r="D3689" s="51"/>
    </row>
    <row r="3690" spans="2:4">
      <c r="B3690" s="51"/>
      <c r="C3690" s="51"/>
      <c r="D3690" s="51"/>
    </row>
    <row r="3691" spans="2:4">
      <c r="B3691" s="51"/>
      <c r="C3691" s="51"/>
      <c r="D3691" s="51"/>
    </row>
    <row r="3692" spans="2:4">
      <c r="B3692" s="51"/>
      <c r="C3692" s="51"/>
      <c r="D3692" s="51"/>
    </row>
    <row r="3693" spans="2:4">
      <c r="B3693" s="51"/>
      <c r="C3693" s="51"/>
      <c r="D3693" s="51"/>
    </row>
    <row r="3694" spans="2:4">
      <c r="B3694" s="51"/>
      <c r="C3694" s="51"/>
      <c r="D3694" s="51"/>
    </row>
    <row r="3695" spans="2:4">
      <c r="B3695" s="51"/>
      <c r="C3695" s="51"/>
      <c r="D3695" s="51"/>
    </row>
    <row r="3696" spans="2:4">
      <c r="B3696" s="51"/>
      <c r="C3696" s="51"/>
      <c r="D3696" s="51"/>
    </row>
    <row r="3697" spans="2:4">
      <c r="B3697" s="51"/>
      <c r="C3697" s="51"/>
      <c r="D3697" s="51"/>
    </row>
    <row r="3698" spans="2:4">
      <c r="B3698" s="51"/>
      <c r="C3698" s="51"/>
      <c r="D3698" s="51"/>
    </row>
    <row r="3699" spans="2:4">
      <c r="B3699" s="51"/>
      <c r="C3699" s="51"/>
      <c r="D3699" s="51"/>
    </row>
    <row r="3700" spans="2:4">
      <c r="B3700" s="51"/>
      <c r="C3700" s="51"/>
      <c r="D3700" s="51"/>
    </row>
    <row r="3701" spans="2:4">
      <c r="B3701" s="51"/>
      <c r="C3701" s="51"/>
      <c r="D3701" s="51"/>
    </row>
    <row r="3702" spans="2:4">
      <c r="B3702" s="51"/>
      <c r="C3702" s="51"/>
      <c r="D3702" s="51"/>
    </row>
    <row r="3703" spans="2:4">
      <c r="B3703" s="51"/>
      <c r="C3703" s="51"/>
      <c r="D3703" s="51"/>
    </row>
    <row r="3704" spans="2:4">
      <c r="B3704" s="51"/>
      <c r="C3704" s="51"/>
      <c r="D3704" s="51"/>
    </row>
    <row r="3705" spans="2:4">
      <c r="B3705" s="51"/>
      <c r="C3705" s="51"/>
      <c r="D3705" s="51"/>
    </row>
    <row r="3706" spans="2:4">
      <c r="B3706" s="51"/>
      <c r="C3706" s="51"/>
      <c r="D3706" s="51"/>
    </row>
    <row r="3707" spans="2:4">
      <c r="B3707" s="51"/>
      <c r="C3707" s="51"/>
      <c r="D3707" s="51"/>
    </row>
    <row r="3708" spans="2:4">
      <c r="B3708" s="51"/>
      <c r="C3708" s="51"/>
      <c r="D3708" s="51"/>
    </row>
    <row r="3709" spans="2:4">
      <c r="B3709" s="51"/>
      <c r="C3709" s="51"/>
      <c r="D3709" s="51"/>
    </row>
    <row r="3710" spans="2:4">
      <c r="B3710" s="51"/>
      <c r="C3710" s="51"/>
      <c r="D3710" s="51"/>
    </row>
    <row r="3711" spans="2:4">
      <c r="B3711" s="51"/>
      <c r="C3711" s="51"/>
      <c r="D3711" s="51"/>
    </row>
    <row r="3712" spans="2:4">
      <c r="B3712" s="51"/>
      <c r="C3712" s="51"/>
      <c r="D3712" s="51"/>
    </row>
    <row r="3713" spans="2:4">
      <c r="B3713" s="51"/>
      <c r="C3713" s="51"/>
      <c r="D3713" s="51"/>
    </row>
    <row r="3714" spans="2:4">
      <c r="B3714" s="51"/>
      <c r="C3714" s="51"/>
      <c r="D3714" s="51"/>
    </row>
    <row r="3715" spans="2:4">
      <c r="B3715" s="51"/>
      <c r="C3715" s="51"/>
      <c r="D3715" s="51"/>
    </row>
    <row r="3716" spans="2:4">
      <c r="B3716" s="51"/>
      <c r="C3716" s="51"/>
      <c r="D3716" s="51"/>
    </row>
    <row r="3717" spans="2:4">
      <c r="B3717" s="51"/>
      <c r="C3717" s="51"/>
      <c r="D3717" s="51"/>
    </row>
    <row r="3718" spans="2:4">
      <c r="B3718" s="51"/>
      <c r="C3718" s="51"/>
      <c r="D3718" s="51"/>
    </row>
    <row r="3719" spans="2:4">
      <c r="B3719" s="51"/>
      <c r="C3719" s="51"/>
      <c r="D3719" s="51"/>
    </row>
    <row r="3720" spans="2:4">
      <c r="B3720" s="51"/>
      <c r="C3720" s="51"/>
      <c r="D3720" s="51"/>
    </row>
    <row r="3721" spans="2:4">
      <c r="B3721" s="51"/>
      <c r="C3721" s="51"/>
      <c r="D3721" s="51"/>
    </row>
    <row r="3722" spans="2:4">
      <c r="B3722" s="51"/>
      <c r="C3722" s="51"/>
      <c r="D3722" s="51"/>
    </row>
    <row r="3723" spans="2:4">
      <c r="B3723" s="51"/>
      <c r="C3723" s="51"/>
      <c r="D3723" s="51"/>
    </row>
    <row r="3724" spans="2:4">
      <c r="B3724" s="51"/>
      <c r="C3724" s="51"/>
      <c r="D3724" s="51"/>
    </row>
    <row r="3725" spans="2:4">
      <c r="B3725" s="51"/>
      <c r="C3725" s="51"/>
      <c r="D3725" s="51"/>
    </row>
    <row r="3726" spans="2:4">
      <c r="B3726" s="51"/>
      <c r="C3726" s="51"/>
      <c r="D3726" s="51"/>
    </row>
    <row r="3727" spans="2:4">
      <c r="B3727" s="51"/>
      <c r="C3727" s="51"/>
      <c r="D3727" s="51"/>
    </row>
    <row r="3728" spans="2:4">
      <c r="B3728" s="51"/>
      <c r="C3728" s="51"/>
      <c r="D3728" s="51"/>
    </row>
    <row r="3729" spans="2:4">
      <c r="B3729" s="51"/>
      <c r="C3729" s="51"/>
      <c r="D3729" s="51"/>
    </row>
    <row r="3730" spans="2:4">
      <c r="B3730" s="51"/>
      <c r="C3730" s="51"/>
      <c r="D3730" s="51"/>
    </row>
    <row r="3731" spans="2:4">
      <c r="B3731" s="51"/>
      <c r="C3731" s="51"/>
      <c r="D3731" s="51"/>
    </row>
    <row r="3732" spans="2:4">
      <c r="B3732" s="51"/>
      <c r="C3732" s="51"/>
      <c r="D3732" s="51"/>
    </row>
    <row r="3733" spans="2:4">
      <c r="B3733" s="51"/>
      <c r="C3733" s="51"/>
      <c r="D3733" s="51"/>
    </row>
    <row r="3734" spans="2:4">
      <c r="B3734" s="51"/>
      <c r="C3734" s="51"/>
      <c r="D3734" s="51"/>
    </row>
    <row r="3735" spans="2:4">
      <c r="B3735" s="51"/>
      <c r="C3735" s="51"/>
      <c r="D3735" s="51"/>
    </row>
    <row r="3736" spans="2:4">
      <c r="B3736" s="51"/>
      <c r="C3736" s="51"/>
      <c r="D3736" s="51"/>
    </row>
    <row r="3737" spans="2:4">
      <c r="B3737" s="51"/>
      <c r="C3737" s="51"/>
      <c r="D3737" s="51"/>
    </row>
    <row r="3738" spans="2:4">
      <c r="B3738" s="51"/>
      <c r="C3738" s="51"/>
      <c r="D3738" s="51"/>
    </row>
    <row r="3739" spans="2:4">
      <c r="B3739" s="51"/>
      <c r="C3739" s="51"/>
      <c r="D3739" s="51"/>
    </row>
    <row r="3740" spans="2:4">
      <c r="B3740" s="51"/>
      <c r="C3740" s="51"/>
      <c r="D3740" s="51"/>
    </row>
    <row r="3741" spans="2:4">
      <c r="B3741" s="51"/>
      <c r="C3741" s="51"/>
      <c r="D3741" s="51"/>
    </row>
    <row r="3742" spans="2:4">
      <c r="B3742" s="51"/>
      <c r="C3742" s="51"/>
      <c r="D3742" s="51"/>
    </row>
    <row r="3743" spans="2:4">
      <c r="B3743" s="51"/>
      <c r="C3743" s="51"/>
      <c r="D3743" s="51"/>
    </row>
    <row r="3744" spans="2:4">
      <c r="B3744" s="51"/>
      <c r="C3744" s="51"/>
      <c r="D3744" s="51"/>
    </row>
    <row r="3745" spans="2:4">
      <c r="B3745" s="51"/>
      <c r="C3745" s="51"/>
      <c r="D3745" s="51"/>
    </row>
    <row r="3746" spans="2:4">
      <c r="B3746" s="51"/>
      <c r="C3746" s="51"/>
      <c r="D3746" s="51"/>
    </row>
    <row r="3747" spans="2:4">
      <c r="B3747" s="51"/>
      <c r="C3747" s="51"/>
      <c r="D3747" s="51"/>
    </row>
    <row r="3748" spans="2:4">
      <c r="B3748" s="51"/>
      <c r="C3748" s="51"/>
      <c r="D3748" s="51"/>
    </row>
    <row r="3749" spans="2:4">
      <c r="B3749" s="51"/>
      <c r="C3749" s="51"/>
      <c r="D3749" s="51"/>
    </row>
    <row r="3750" spans="2:4">
      <c r="B3750" s="51"/>
      <c r="C3750" s="51"/>
      <c r="D3750" s="51"/>
    </row>
    <row r="3751" spans="2:4">
      <c r="B3751" s="51"/>
      <c r="C3751" s="51"/>
      <c r="D3751" s="51"/>
    </row>
    <row r="3752" spans="2:4">
      <c r="B3752" s="51"/>
      <c r="C3752" s="51"/>
      <c r="D3752" s="51"/>
    </row>
    <row r="3753" spans="2:4">
      <c r="B3753" s="51"/>
      <c r="C3753" s="51"/>
      <c r="D3753" s="51"/>
    </row>
    <row r="3754" spans="2:4">
      <c r="B3754" s="51"/>
      <c r="C3754" s="51"/>
      <c r="D3754" s="51"/>
    </row>
    <row r="3755" spans="2:4">
      <c r="B3755" s="51"/>
      <c r="C3755" s="51"/>
      <c r="D3755" s="51"/>
    </row>
    <row r="3756" spans="2:4">
      <c r="B3756" s="51"/>
      <c r="C3756" s="51"/>
      <c r="D3756" s="51"/>
    </row>
    <row r="3757" spans="2:4">
      <c r="B3757" s="51"/>
      <c r="C3757" s="51"/>
      <c r="D3757" s="51"/>
    </row>
    <row r="3758" spans="2:4">
      <c r="B3758" s="51"/>
      <c r="C3758" s="51"/>
      <c r="D3758" s="51"/>
    </row>
    <row r="3759" spans="2:4">
      <c r="B3759" s="51"/>
      <c r="C3759" s="51"/>
      <c r="D3759" s="51"/>
    </row>
    <row r="3760" spans="2:4">
      <c r="B3760" s="51"/>
      <c r="C3760" s="51"/>
      <c r="D3760" s="51"/>
    </row>
    <row r="3761" spans="2:4">
      <c r="B3761" s="51"/>
      <c r="C3761" s="51"/>
      <c r="D3761" s="51"/>
    </row>
    <row r="3762" spans="2:4">
      <c r="B3762" s="51"/>
      <c r="C3762" s="51"/>
      <c r="D3762" s="51"/>
    </row>
    <row r="3763" spans="2:4">
      <c r="B3763" s="51"/>
      <c r="C3763" s="51"/>
      <c r="D3763" s="51"/>
    </row>
    <row r="3764" spans="2:4">
      <c r="B3764" s="51"/>
      <c r="C3764" s="51"/>
      <c r="D3764" s="51"/>
    </row>
    <row r="3765" spans="2:4">
      <c r="B3765" s="51"/>
      <c r="C3765" s="51"/>
      <c r="D3765" s="51"/>
    </row>
    <row r="3766" spans="2:4">
      <c r="B3766" s="51"/>
      <c r="C3766" s="51"/>
      <c r="D3766" s="51"/>
    </row>
    <row r="3767" spans="2:4">
      <c r="B3767" s="51"/>
      <c r="C3767" s="51"/>
      <c r="D3767" s="51"/>
    </row>
    <row r="3768" spans="2:4">
      <c r="B3768" s="51"/>
      <c r="C3768" s="51"/>
      <c r="D3768" s="51"/>
    </row>
    <row r="3769" spans="2:4">
      <c r="B3769" s="51"/>
      <c r="C3769" s="51"/>
      <c r="D3769" s="51"/>
    </row>
    <row r="3770" spans="2:4">
      <c r="B3770" s="51"/>
      <c r="C3770" s="51"/>
      <c r="D3770" s="51"/>
    </row>
    <row r="3771" spans="2:4">
      <c r="B3771" s="51"/>
      <c r="C3771" s="51"/>
      <c r="D3771" s="51"/>
    </row>
    <row r="3772" spans="2:4">
      <c r="B3772" s="51"/>
      <c r="C3772" s="51"/>
      <c r="D3772" s="51"/>
    </row>
    <row r="3773" spans="2:4">
      <c r="B3773" s="51"/>
      <c r="C3773" s="51"/>
      <c r="D3773" s="51"/>
    </row>
    <row r="3774" spans="2:4">
      <c r="B3774" s="51"/>
      <c r="C3774" s="51"/>
      <c r="D3774" s="51"/>
    </row>
    <row r="3775" spans="2:4">
      <c r="B3775" s="51"/>
      <c r="C3775" s="51"/>
      <c r="D3775" s="51"/>
    </row>
    <row r="3776" spans="2:4">
      <c r="B3776" s="51"/>
      <c r="C3776" s="51"/>
      <c r="D3776" s="51"/>
    </row>
    <row r="3777" spans="2:4">
      <c r="B3777" s="51"/>
      <c r="C3777" s="51"/>
      <c r="D3777" s="51"/>
    </row>
    <row r="3778" spans="2:4">
      <c r="B3778" s="51"/>
      <c r="C3778" s="51"/>
      <c r="D3778" s="51"/>
    </row>
    <row r="3779" spans="2:4">
      <c r="B3779" s="51"/>
      <c r="C3779" s="51"/>
      <c r="D3779" s="51"/>
    </row>
    <row r="3780" spans="2:4">
      <c r="B3780" s="51"/>
      <c r="C3780" s="51"/>
      <c r="D3780" s="51"/>
    </row>
    <row r="3781" spans="2:4">
      <c r="B3781" s="51"/>
      <c r="C3781" s="51"/>
      <c r="D3781" s="51"/>
    </row>
    <row r="3782" spans="2:4">
      <c r="B3782" s="51"/>
      <c r="C3782" s="51"/>
      <c r="D3782" s="51"/>
    </row>
    <row r="3783" spans="2:4">
      <c r="B3783" s="51"/>
      <c r="C3783" s="51"/>
      <c r="D3783" s="51"/>
    </row>
    <row r="3784" spans="2:4">
      <c r="B3784" s="51"/>
      <c r="C3784" s="51"/>
      <c r="D3784" s="51"/>
    </row>
    <row r="3785" spans="2:4">
      <c r="B3785" s="51"/>
      <c r="C3785" s="51"/>
      <c r="D3785" s="51"/>
    </row>
    <row r="3786" spans="2:4">
      <c r="B3786" s="51"/>
      <c r="C3786" s="51"/>
      <c r="D3786" s="51"/>
    </row>
    <row r="3787" spans="2:4">
      <c r="B3787" s="51"/>
      <c r="C3787" s="51"/>
      <c r="D3787" s="51"/>
    </row>
    <row r="3788" spans="2:4">
      <c r="B3788" s="51"/>
      <c r="C3788" s="51"/>
      <c r="D3788" s="51"/>
    </row>
    <row r="3789" spans="2:4">
      <c r="B3789" s="51"/>
      <c r="C3789" s="51"/>
      <c r="D3789" s="51"/>
    </row>
    <row r="3790" spans="2:4">
      <c r="B3790" s="51"/>
      <c r="C3790" s="51"/>
      <c r="D3790" s="51"/>
    </row>
    <row r="3791" spans="2:4">
      <c r="B3791" s="51"/>
      <c r="C3791" s="51"/>
      <c r="D3791" s="51"/>
    </row>
    <row r="3792" spans="2:4">
      <c r="B3792" s="51"/>
      <c r="C3792" s="51"/>
      <c r="D3792" s="51"/>
    </row>
    <row r="3793" spans="2:4">
      <c r="B3793" s="51"/>
      <c r="C3793" s="51"/>
      <c r="D3793" s="51"/>
    </row>
    <row r="3794" spans="2:4">
      <c r="B3794" s="51"/>
      <c r="C3794" s="51"/>
      <c r="D3794" s="51"/>
    </row>
    <row r="3795" spans="2:4">
      <c r="B3795" s="51"/>
      <c r="C3795" s="51"/>
      <c r="D3795" s="51"/>
    </row>
    <row r="3796" spans="2:4">
      <c r="B3796" s="51"/>
      <c r="C3796" s="51"/>
      <c r="D3796" s="51"/>
    </row>
    <row r="3797" spans="2:4">
      <c r="B3797" s="51"/>
      <c r="C3797" s="51"/>
      <c r="D3797" s="51"/>
    </row>
    <row r="3798" spans="2:4">
      <c r="B3798" s="51"/>
      <c r="C3798" s="51"/>
      <c r="D3798" s="51"/>
    </row>
    <row r="3799" spans="2:4">
      <c r="B3799" s="51"/>
      <c r="C3799" s="51"/>
      <c r="D3799" s="51"/>
    </row>
    <row r="3800" spans="2:4">
      <c r="B3800" s="51"/>
      <c r="C3800" s="51"/>
      <c r="D3800" s="51"/>
    </row>
    <row r="3801" spans="2:4">
      <c r="B3801" s="51"/>
      <c r="C3801" s="51"/>
      <c r="D3801" s="51"/>
    </row>
    <row r="3802" spans="2:4">
      <c r="B3802" s="51"/>
      <c r="C3802" s="51"/>
      <c r="D3802" s="51"/>
    </row>
    <row r="3803" spans="2:4">
      <c r="B3803" s="51"/>
      <c r="C3803" s="51"/>
      <c r="D3803" s="51"/>
    </row>
    <row r="3804" spans="2:4">
      <c r="B3804" s="51"/>
      <c r="C3804" s="51"/>
      <c r="D3804" s="51"/>
    </row>
    <row r="3805" spans="2:4">
      <c r="B3805" s="51"/>
      <c r="C3805" s="51"/>
      <c r="D3805" s="51"/>
    </row>
    <row r="3806" spans="2:4">
      <c r="B3806" s="51"/>
      <c r="C3806" s="51"/>
      <c r="D3806" s="51"/>
    </row>
    <row r="3807" spans="2:4">
      <c r="B3807" s="51"/>
      <c r="C3807" s="51"/>
      <c r="D3807" s="51"/>
    </row>
    <row r="3808" spans="2:4">
      <c r="B3808" s="51"/>
      <c r="C3808" s="51"/>
      <c r="D3808" s="51"/>
    </row>
    <row r="3809" spans="2:4">
      <c r="B3809" s="51"/>
      <c r="C3809" s="51"/>
      <c r="D3809" s="51"/>
    </row>
    <row r="3810" spans="2:4">
      <c r="B3810" s="51"/>
      <c r="C3810" s="51"/>
      <c r="D3810" s="51"/>
    </row>
    <row r="3811" spans="2:4">
      <c r="B3811" s="51"/>
      <c r="C3811" s="51"/>
      <c r="D3811" s="51"/>
    </row>
    <row r="3812" spans="2:4">
      <c r="B3812" s="51"/>
      <c r="C3812" s="51"/>
      <c r="D3812" s="51"/>
    </row>
    <row r="3813" spans="2:4">
      <c r="B3813" s="51"/>
      <c r="C3813" s="51"/>
      <c r="D3813" s="51"/>
    </row>
    <row r="3814" spans="2:4">
      <c r="B3814" s="51"/>
      <c r="C3814" s="51"/>
      <c r="D3814" s="51"/>
    </row>
    <row r="3815" spans="2:4">
      <c r="B3815" s="51"/>
      <c r="C3815" s="51"/>
      <c r="D3815" s="51"/>
    </row>
    <row r="3816" spans="2:4">
      <c r="B3816" s="51"/>
      <c r="C3816" s="51"/>
      <c r="D3816" s="51"/>
    </row>
    <row r="3817" spans="2:4">
      <c r="B3817" s="51"/>
      <c r="C3817" s="51"/>
      <c r="D3817" s="51"/>
    </row>
    <row r="3818" spans="2:4">
      <c r="B3818" s="51"/>
      <c r="C3818" s="51"/>
      <c r="D3818" s="51"/>
    </row>
    <row r="3819" spans="2:4">
      <c r="B3819" s="51"/>
      <c r="C3819" s="51"/>
      <c r="D3819" s="51"/>
    </row>
    <row r="3820" spans="2:4">
      <c r="B3820" s="51"/>
      <c r="C3820" s="51"/>
      <c r="D3820" s="51"/>
    </row>
    <row r="3821" spans="2:4">
      <c r="B3821" s="51"/>
      <c r="C3821" s="51"/>
      <c r="D3821" s="51"/>
    </row>
    <row r="3822" spans="2:4">
      <c r="B3822" s="51"/>
      <c r="C3822" s="51"/>
      <c r="D3822" s="51"/>
    </row>
    <row r="3823" spans="2:4">
      <c r="B3823" s="51"/>
      <c r="C3823" s="51"/>
      <c r="D3823" s="51"/>
    </row>
    <row r="3824" spans="2:4">
      <c r="B3824" s="51"/>
      <c r="C3824" s="51"/>
      <c r="D3824" s="51"/>
    </row>
    <row r="3825" spans="2:4">
      <c r="B3825" s="51"/>
      <c r="C3825" s="51"/>
      <c r="D3825" s="51"/>
    </row>
    <row r="3826" spans="2:4">
      <c r="B3826" s="51"/>
      <c r="C3826" s="51"/>
      <c r="D3826" s="51"/>
    </row>
    <row r="3827" spans="2:4">
      <c r="B3827" s="51"/>
      <c r="C3827" s="51"/>
      <c r="D3827" s="51"/>
    </row>
    <row r="3828" spans="2:4">
      <c r="B3828" s="51"/>
      <c r="C3828" s="51"/>
      <c r="D3828" s="51"/>
    </row>
    <row r="3829" spans="2:4">
      <c r="B3829" s="51"/>
      <c r="C3829" s="51"/>
      <c r="D3829" s="51"/>
    </row>
    <row r="3830" spans="2:4">
      <c r="B3830" s="51"/>
      <c r="C3830" s="51"/>
      <c r="D3830" s="51"/>
    </row>
    <row r="3831" spans="2:4">
      <c r="B3831" s="51"/>
      <c r="C3831" s="51"/>
      <c r="D3831" s="51"/>
    </row>
    <row r="3832" spans="2:4">
      <c r="B3832" s="51"/>
      <c r="C3832" s="51"/>
      <c r="D3832" s="51"/>
    </row>
    <row r="3833" spans="2:4">
      <c r="B3833" s="51"/>
      <c r="C3833" s="51"/>
      <c r="D3833" s="51"/>
    </row>
    <row r="3834" spans="2:4">
      <c r="B3834" s="51"/>
      <c r="C3834" s="51"/>
      <c r="D3834" s="51"/>
    </row>
    <row r="3835" spans="2:4">
      <c r="B3835" s="51"/>
      <c r="C3835" s="51"/>
      <c r="D3835" s="51"/>
    </row>
    <row r="3836" spans="2:4">
      <c r="B3836" s="51"/>
      <c r="C3836" s="51"/>
      <c r="D3836" s="51"/>
    </row>
    <row r="3837" spans="2:4">
      <c r="B3837" s="51"/>
      <c r="C3837" s="51"/>
      <c r="D3837" s="51"/>
    </row>
    <row r="3838" spans="2:4">
      <c r="B3838" s="51"/>
      <c r="C3838" s="51"/>
      <c r="D3838" s="51"/>
    </row>
    <row r="3839" spans="2:4">
      <c r="B3839" s="51"/>
      <c r="C3839" s="51"/>
      <c r="D3839" s="51"/>
    </row>
    <row r="3840" spans="2:4">
      <c r="B3840" s="51"/>
      <c r="C3840" s="51"/>
      <c r="D3840" s="51"/>
    </row>
    <row r="3841" spans="2:4">
      <c r="B3841" s="51"/>
      <c r="C3841" s="51"/>
      <c r="D3841" s="51"/>
    </row>
    <row r="3842" spans="2:4">
      <c r="B3842" s="51"/>
      <c r="C3842" s="51"/>
      <c r="D3842" s="51"/>
    </row>
    <row r="3843" spans="2:4">
      <c r="B3843" s="51"/>
      <c r="C3843" s="51"/>
      <c r="D3843" s="51"/>
    </row>
    <row r="3844" spans="2:4">
      <c r="B3844" s="51"/>
      <c r="C3844" s="51"/>
      <c r="D3844" s="51"/>
    </row>
    <row r="3845" spans="2:4">
      <c r="B3845" s="51"/>
      <c r="C3845" s="51"/>
      <c r="D3845" s="51"/>
    </row>
    <row r="3846" spans="2:4">
      <c r="B3846" s="51"/>
      <c r="C3846" s="51"/>
      <c r="D3846" s="51"/>
    </row>
    <row r="3847" spans="2:4">
      <c r="B3847" s="51"/>
      <c r="C3847" s="51"/>
      <c r="D3847" s="51"/>
    </row>
    <row r="3848" spans="2:4">
      <c r="B3848" s="51"/>
      <c r="C3848" s="51"/>
      <c r="D3848" s="51"/>
    </row>
    <row r="3849" spans="2:4">
      <c r="B3849" s="51"/>
      <c r="C3849" s="51"/>
      <c r="D3849" s="51"/>
    </row>
    <row r="3850" spans="2:4">
      <c r="B3850" s="51"/>
      <c r="C3850" s="51"/>
      <c r="D3850" s="51"/>
    </row>
    <row r="3851" spans="2:4">
      <c r="B3851" s="51"/>
      <c r="C3851" s="51"/>
      <c r="D3851" s="51"/>
    </row>
    <row r="3852" spans="2:4">
      <c r="B3852" s="51"/>
      <c r="C3852" s="51"/>
      <c r="D3852" s="51"/>
    </row>
    <row r="3853" spans="2:4">
      <c r="B3853" s="51"/>
      <c r="C3853" s="51"/>
      <c r="D3853" s="51"/>
    </row>
    <row r="3854" spans="2:4">
      <c r="B3854" s="51"/>
      <c r="C3854" s="51"/>
      <c r="D3854" s="51"/>
    </row>
    <row r="3855" spans="2:4">
      <c r="B3855" s="51"/>
      <c r="C3855" s="51"/>
      <c r="D3855" s="51"/>
    </row>
    <row r="3856" spans="2:4">
      <c r="B3856" s="51"/>
      <c r="C3856" s="51"/>
      <c r="D3856" s="51"/>
    </row>
    <row r="3857" spans="2:4">
      <c r="B3857" s="51"/>
      <c r="C3857" s="51"/>
      <c r="D3857" s="51"/>
    </row>
    <row r="3858" spans="2:4">
      <c r="B3858" s="51"/>
      <c r="C3858" s="51"/>
      <c r="D3858" s="51"/>
    </row>
    <row r="3859" spans="2:4">
      <c r="B3859" s="51"/>
      <c r="C3859" s="51"/>
      <c r="D3859" s="51"/>
    </row>
    <row r="3860" spans="2:4">
      <c r="B3860" s="51"/>
      <c r="C3860" s="51"/>
      <c r="D3860" s="51"/>
    </row>
    <row r="3861" spans="2:4">
      <c r="B3861" s="51"/>
      <c r="C3861" s="51"/>
      <c r="D3861" s="51"/>
    </row>
    <row r="3862" spans="2:4">
      <c r="B3862" s="51"/>
      <c r="C3862" s="51"/>
      <c r="D3862" s="51"/>
    </row>
    <row r="3863" spans="2:4">
      <c r="B3863" s="51"/>
      <c r="C3863" s="51"/>
      <c r="D3863" s="51"/>
    </row>
    <row r="3864" spans="2:4">
      <c r="B3864" s="51"/>
      <c r="C3864" s="51"/>
      <c r="D3864" s="51"/>
    </row>
    <row r="3865" spans="2:4">
      <c r="B3865" s="51"/>
      <c r="C3865" s="51"/>
      <c r="D3865" s="51"/>
    </row>
    <row r="3866" spans="2:4">
      <c r="B3866" s="51"/>
      <c r="C3866" s="51"/>
      <c r="D3866" s="51"/>
    </row>
    <row r="3867" spans="2:4">
      <c r="B3867" s="51"/>
      <c r="C3867" s="51"/>
      <c r="D3867" s="51"/>
    </row>
    <row r="3868" spans="2:4">
      <c r="B3868" s="51"/>
      <c r="C3868" s="51"/>
      <c r="D3868" s="51"/>
    </row>
    <row r="3869" spans="2:4">
      <c r="B3869" s="51"/>
      <c r="C3869" s="51"/>
      <c r="D3869" s="51"/>
    </row>
    <row r="3870" spans="2:4">
      <c r="B3870" s="51"/>
      <c r="C3870" s="51"/>
      <c r="D3870" s="51"/>
    </row>
    <row r="3871" spans="2:4">
      <c r="B3871" s="51"/>
      <c r="C3871" s="51"/>
      <c r="D3871" s="51"/>
    </row>
    <row r="3872" spans="2:4">
      <c r="B3872" s="51"/>
      <c r="C3872" s="51"/>
      <c r="D3872" s="51"/>
    </row>
    <row r="3873" spans="2:4">
      <c r="B3873" s="51"/>
      <c r="C3873" s="51"/>
      <c r="D3873" s="51"/>
    </row>
    <row r="3874" spans="2:4">
      <c r="B3874" s="51"/>
      <c r="C3874" s="51"/>
      <c r="D3874" s="51"/>
    </row>
    <row r="3875" spans="2:4">
      <c r="B3875" s="51"/>
      <c r="C3875" s="51"/>
      <c r="D3875" s="51"/>
    </row>
    <row r="3876" spans="2:4">
      <c r="B3876" s="51"/>
      <c r="C3876" s="51"/>
      <c r="D3876" s="51"/>
    </row>
    <row r="3877" spans="2:4">
      <c r="B3877" s="51"/>
      <c r="C3877" s="51"/>
      <c r="D3877" s="51"/>
    </row>
    <row r="3878" spans="2:4">
      <c r="B3878" s="51"/>
      <c r="C3878" s="51"/>
      <c r="D3878" s="51"/>
    </row>
    <row r="3879" spans="2:4">
      <c r="B3879" s="51"/>
      <c r="C3879" s="51"/>
      <c r="D3879" s="51"/>
    </row>
    <row r="3880" spans="2:4">
      <c r="B3880" s="51"/>
      <c r="C3880" s="51"/>
      <c r="D3880" s="51"/>
    </row>
    <row r="3881" spans="2:4">
      <c r="B3881" s="51"/>
      <c r="C3881" s="51"/>
      <c r="D3881" s="51"/>
    </row>
    <row r="3882" spans="2:4">
      <c r="B3882" s="51"/>
      <c r="C3882" s="51"/>
      <c r="D3882" s="51"/>
    </row>
    <row r="3883" spans="2:4">
      <c r="B3883" s="51"/>
      <c r="C3883" s="51"/>
      <c r="D3883" s="51"/>
    </row>
    <row r="3884" spans="2:4">
      <c r="B3884" s="51"/>
      <c r="C3884" s="51"/>
      <c r="D3884" s="51"/>
    </row>
    <row r="3885" spans="2:4">
      <c r="B3885" s="51"/>
      <c r="C3885" s="51"/>
      <c r="D3885" s="51"/>
    </row>
    <row r="3886" spans="2:4">
      <c r="B3886" s="51"/>
      <c r="C3886" s="51"/>
      <c r="D3886" s="51"/>
    </row>
    <row r="3887" spans="2:4">
      <c r="B3887" s="51"/>
      <c r="C3887" s="51"/>
      <c r="D3887" s="51"/>
    </row>
    <row r="3888" spans="2:4">
      <c r="B3888" s="51"/>
      <c r="C3888" s="51"/>
      <c r="D3888" s="51"/>
    </row>
    <row r="3889" spans="2:4">
      <c r="B3889" s="51"/>
      <c r="C3889" s="51"/>
      <c r="D3889" s="51"/>
    </row>
    <row r="3890" spans="2:4">
      <c r="B3890" s="51"/>
      <c r="C3890" s="51"/>
      <c r="D3890" s="51"/>
    </row>
    <row r="3891" spans="2:4">
      <c r="B3891" s="51"/>
      <c r="C3891" s="51"/>
      <c r="D3891" s="51"/>
    </row>
    <row r="3892" spans="2:4">
      <c r="B3892" s="51"/>
      <c r="C3892" s="51"/>
      <c r="D3892" s="51"/>
    </row>
    <row r="3893" spans="2:4">
      <c r="B3893" s="51"/>
      <c r="C3893" s="51"/>
      <c r="D3893" s="51"/>
    </row>
    <row r="3894" spans="2:4">
      <c r="B3894" s="51"/>
      <c r="C3894" s="51"/>
      <c r="D3894" s="51"/>
    </row>
    <row r="3895" spans="2:4">
      <c r="B3895" s="51"/>
      <c r="C3895" s="51"/>
      <c r="D3895" s="51"/>
    </row>
    <row r="3896" spans="2:4">
      <c r="B3896" s="51"/>
      <c r="C3896" s="51"/>
      <c r="D3896" s="51"/>
    </row>
    <row r="3897" spans="2:4">
      <c r="B3897" s="51"/>
      <c r="C3897" s="51"/>
      <c r="D3897" s="51"/>
    </row>
    <row r="3898" spans="2:4">
      <c r="B3898" s="51"/>
      <c r="C3898" s="51"/>
      <c r="D3898" s="51"/>
    </row>
    <row r="3899" spans="2:4">
      <c r="B3899" s="51"/>
      <c r="C3899" s="51"/>
      <c r="D3899" s="51"/>
    </row>
    <row r="3900" spans="2:4">
      <c r="B3900" s="51"/>
      <c r="C3900" s="51"/>
      <c r="D3900" s="51"/>
    </row>
    <row r="3901" spans="2:4">
      <c r="B3901" s="51"/>
      <c r="C3901" s="51"/>
      <c r="D3901" s="51"/>
    </row>
    <row r="3902" spans="2:4">
      <c r="B3902" s="51"/>
      <c r="C3902" s="51"/>
      <c r="D3902" s="51"/>
    </row>
    <row r="3903" spans="2:4">
      <c r="B3903" s="51"/>
      <c r="C3903" s="51"/>
      <c r="D3903" s="51"/>
    </row>
    <row r="3904" spans="2:4">
      <c r="B3904" s="51"/>
      <c r="C3904" s="51"/>
      <c r="D3904" s="51"/>
    </row>
    <row r="3905" spans="2:4">
      <c r="B3905" s="51"/>
      <c r="C3905" s="51"/>
      <c r="D3905" s="51"/>
    </row>
    <row r="3906" spans="2:4">
      <c r="B3906" s="51"/>
      <c r="C3906" s="51"/>
      <c r="D3906" s="51"/>
    </row>
    <row r="3907" spans="2:4">
      <c r="B3907" s="51"/>
      <c r="C3907" s="51"/>
      <c r="D3907" s="51"/>
    </row>
    <row r="3908" spans="2:4">
      <c r="B3908" s="51"/>
      <c r="C3908" s="51"/>
      <c r="D3908" s="51"/>
    </row>
    <row r="3909" spans="2:4">
      <c r="B3909" s="51"/>
      <c r="C3909" s="51"/>
      <c r="D3909" s="51"/>
    </row>
    <row r="3910" spans="2:4">
      <c r="B3910" s="51"/>
      <c r="C3910" s="51"/>
      <c r="D3910" s="51"/>
    </row>
    <row r="3911" spans="2:4">
      <c r="B3911" s="51"/>
      <c r="C3911" s="51"/>
      <c r="D3911" s="51"/>
    </row>
    <row r="3912" spans="2:4">
      <c r="B3912" s="51"/>
      <c r="C3912" s="51"/>
      <c r="D3912" s="51"/>
    </row>
    <row r="3913" spans="2:4">
      <c r="B3913" s="51"/>
      <c r="C3913" s="51"/>
      <c r="D3913" s="51"/>
    </row>
    <row r="3914" spans="2:4">
      <c r="B3914" s="51"/>
      <c r="C3914" s="51"/>
      <c r="D3914" s="51"/>
    </row>
    <row r="3915" spans="2:4">
      <c r="B3915" s="51"/>
      <c r="C3915" s="51"/>
      <c r="D3915" s="51"/>
    </row>
    <row r="3916" spans="2:4">
      <c r="B3916" s="51"/>
      <c r="C3916" s="51"/>
      <c r="D3916" s="51"/>
    </row>
    <row r="3917" spans="2:4">
      <c r="B3917" s="51"/>
      <c r="C3917" s="51"/>
      <c r="D3917" s="51"/>
    </row>
    <row r="3918" spans="2:4">
      <c r="B3918" s="51"/>
      <c r="C3918" s="51"/>
      <c r="D3918" s="51"/>
    </row>
    <row r="3919" spans="2:4">
      <c r="B3919" s="51"/>
      <c r="C3919" s="51"/>
      <c r="D3919" s="51"/>
    </row>
    <row r="3920" spans="2:4">
      <c r="B3920" s="51"/>
      <c r="C3920" s="51"/>
      <c r="D3920" s="51"/>
    </row>
    <row r="3921" spans="2:4">
      <c r="B3921" s="51"/>
      <c r="C3921" s="51"/>
      <c r="D3921" s="51"/>
    </row>
    <row r="3922" spans="2:4">
      <c r="B3922" s="51"/>
      <c r="C3922" s="51"/>
      <c r="D3922" s="51"/>
    </row>
    <row r="3923" spans="2:4">
      <c r="B3923" s="51"/>
      <c r="C3923" s="51"/>
      <c r="D3923" s="51"/>
    </row>
    <row r="3924" spans="2:4">
      <c r="B3924" s="51"/>
      <c r="C3924" s="51"/>
      <c r="D3924" s="51"/>
    </row>
    <row r="3925" spans="2:4">
      <c r="B3925" s="51"/>
      <c r="C3925" s="51"/>
      <c r="D3925" s="51"/>
    </row>
    <row r="3926" spans="2:4">
      <c r="B3926" s="51"/>
      <c r="C3926" s="51"/>
      <c r="D3926" s="51"/>
    </row>
    <row r="3927" spans="2:4">
      <c r="B3927" s="51"/>
      <c r="C3927" s="51"/>
      <c r="D3927" s="51"/>
    </row>
    <row r="3928" spans="2:4">
      <c r="B3928" s="51"/>
      <c r="C3928" s="51"/>
      <c r="D3928" s="51"/>
    </row>
    <row r="3929" spans="2:4">
      <c r="B3929" s="51"/>
      <c r="C3929" s="51"/>
      <c r="D3929" s="51"/>
    </row>
    <row r="3930" spans="2:4">
      <c r="B3930" s="51"/>
      <c r="C3930" s="51"/>
      <c r="D3930" s="51"/>
    </row>
    <row r="3931" spans="2:4">
      <c r="B3931" s="51"/>
      <c r="C3931" s="51"/>
      <c r="D3931" s="51"/>
    </row>
    <row r="3932" spans="2:4">
      <c r="B3932" s="51"/>
      <c r="C3932" s="51"/>
      <c r="D3932" s="51"/>
    </row>
  </sheetData>
  <mergeCells count="4">
    <mergeCell ref="A1:G1"/>
    <mergeCell ref="E4:G4"/>
    <mergeCell ref="A8:G8"/>
    <mergeCell ref="B9:C9"/>
  </mergeCells>
  <conditionalFormatting sqref="E115:G116 G117:G123 E11:E114 E117:E168">
    <cfRule type="cellIs" dxfId="401" priority="3" stopIfTrue="1" operator="equal">
      <formula>"Pass"</formula>
    </cfRule>
    <cfRule type="cellIs" dxfId="400" priority="4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W687"/>
  <sheetViews>
    <sheetView tabSelected="1" zoomScale="80" zoomScaleNormal="80" workbookViewId="0">
      <pane ySplit="9" topLeftCell="A10" activePane="bottomLeft" state="frozen"/>
      <selection pane="bottomLeft" activeCell="A9" sqref="A9"/>
    </sheetView>
  </sheetViews>
  <sheetFormatPr defaultRowHeight="15"/>
  <cols>
    <col min="1" max="1" width="12.25" style="124" customWidth="1"/>
    <col min="2" max="2" width="10.25" style="77" customWidth="1"/>
    <col min="3" max="3" width="10.875" style="77" customWidth="1"/>
    <col min="4" max="13" width="9" style="77"/>
    <col min="14" max="14" width="12.25" style="77" customWidth="1"/>
    <col min="15" max="17" width="9" style="77"/>
    <col min="18" max="18" width="10" style="77" customWidth="1"/>
    <col min="19" max="19" width="56.375" style="77" bestFit="1" customWidth="1"/>
    <col min="20" max="20" width="9" style="76"/>
    <col min="21" max="16384" width="9" style="77"/>
  </cols>
  <sheetData>
    <row r="1" spans="1:23" s="6" customFormat="1">
      <c r="A1" s="2" t="s">
        <v>11</v>
      </c>
      <c r="B1" s="3"/>
      <c r="C1" s="3"/>
      <c r="D1" s="3"/>
      <c r="E1" s="3"/>
      <c r="F1" s="3"/>
      <c r="G1" s="3"/>
      <c r="H1" s="3"/>
      <c r="I1" s="3"/>
      <c r="J1" s="3"/>
      <c r="K1" s="4"/>
      <c r="L1" s="3"/>
      <c r="M1" s="3"/>
      <c r="N1" s="3"/>
      <c r="O1" s="3"/>
      <c r="P1" s="3"/>
      <c r="Q1" s="3"/>
      <c r="R1" s="3"/>
      <c r="S1" s="4"/>
      <c r="T1" s="5"/>
    </row>
    <row r="2" spans="1:23">
      <c r="A2" s="7" t="s">
        <v>268</v>
      </c>
      <c r="B2" s="8"/>
      <c r="C2" s="9"/>
      <c r="D2" s="9"/>
      <c r="E2" s="9"/>
      <c r="F2" s="9"/>
      <c r="G2" s="9"/>
      <c r="H2" s="9"/>
      <c r="I2" s="9"/>
      <c r="J2" s="9"/>
      <c r="K2" s="10"/>
      <c r="L2" s="9"/>
      <c r="M2" s="11"/>
      <c r="N2" s="8"/>
      <c r="O2" s="8"/>
      <c r="P2" s="8"/>
      <c r="Q2" s="12"/>
      <c r="R2" s="11"/>
      <c r="S2" s="13" t="s">
        <v>269</v>
      </c>
    </row>
    <row r="3" spans="1:23">
      <c r="A3" s="14" t="s">
        <v>281</v>
      </c>
      <c r="B3" s="15"/>
      <c r="C3" s="16"/>
      <c r="D3" s="16"/>
      <c r="E3" s="16"/>
      <c r="F3" s="16"/>
      <c r="G3" s="16"/>
      <c r="H3" s="16"/>
      <c r="I3" s="16"/>
      <c r="J3" s="16"/>
      <c r="K3" s="17"/>
      <c r="L3" s="16"/>
      <c r="M3" s="16"/>
      <c r="N3" s="12"/>
      <c r="O3" s="12"/>
      <c r="P3" s="12"/>
      <c r="Q3" s="12"/>
      <c r="R3" s="12"/>
      <c r="S3" s="18"/>
    </row>
    <row r="4" spans="1:23">
      <c r="A4" s="7" t="s">
        <v>282</v>
      </c>
      <c r="B4" s="8"/>
      <c r="C4" s="9"/>
      <c r="D4" s="8"/>
      <c r="E4" s="16"/>
      <c r="F4" s="12" t="s">
        <v>278</v>
      </c>
      <c r="G4" s="12"/>
      <c r="H4" s="12"/>
      <c r="I4" s="12"/>
      <c r="J4" s="12"/>
      <c r="K4" s="18"/>
      <c r="L4" s="9"/>
      <c r="M4" s="9"/>
      <c r="N4" s="12"/>
      <c r="O4" s="12"/>
      <c r="P4" s="12"/>
      <c r="Q4" s="12"/>
      <c r="R4" s="12"/>
      <c r="S4" s="18"/>
    </row>
    <row r="5" spans="1:23">
      <c r="A5" s="7" t="s">
        <v>124</v>
      </c>
      <c r="B5" s="12" t="s">
        <v>279</v>
      </c>
      <c r="C5" s="12"/>
      <c r="D5" s="12"/>
      <c r="E5" s="12"/>
      <c r="F5" s="12"/>
      <c r="G5" s="12"/>
      <c r="H5" s="12"/>
      <c r="I5" s="12"/>
      <c r="J5" s="12"/>
      <c r="K5" s="18"/>
      <c r="L5" s="78"/>
      <c r="M5" s="9"/>
      <c r="N5" s="12"/>
      <c r="O5" s="12"/>
      <c r="P5" s="12"/>
      <c r="Q5" s="12"/>
      <c r="R5" s="12"/>
      <c r="S5" s="18"/>
    </row>
    <row r="6" spans="1:23">
      <c r="A6" s="7" t="s">
        <v>270</v>
      </c>
      <c r="B6" s="8"/>
      <c r="C6" s="9"/>
      <c r="D6" s="9"/>
      <c r="E6" s="9"/>
      <c r="F6" s="9"/>
      <c r="G6" s="9"/>
      <c r="H6" s="9"/>
      <c r="I6" s="9"/>
      <c r="J6" s="9"/>
      <c r="K6" s="10"/>
      <c r="L6" s="9"/>
      <c r="M6" s="9"/>
      <c r="N6" s="12"/>
      <c r="O6" s="73"/>
      <c r="P6" s="73"/>
      <c r="Q6" s="73"/>
      <c r="R6" s="79"/>
      <c r="S6" s="80"/>
    </row>
    <row r="7" spans="1:23">
      <c r="A7" s="19" t="s">
        <v>125</v>
      </c>
      <c r="B7" s="12"/>
      <c r="C7" s="9"/>
      <c r="D7" s="9"/>
      <c r="E7" s="9"/>
      <c r="F7" s="9"/>
      <c r="G7" s="9"/>
      <c r="H7" s="9"/>
      <c r="I7" s="9"/>
      <c r="J7" s="9"/>
      <c r="K7" s="10"/>
      <c r="L7" s="9"/>
      <c r="M7" s="9"/>
      <c r="N7" s="12"/>
      <c r="O7" s="12"/>
      <c r="P7" s="12"/>
      <c r="Q7" s="12"/>
      <c r="R7" s="12"/>
      <c r="S7" s="18"/>
    </row>
    <row r="8" spans="1:23">
      <c r="A8" s="81"/>
      <c r="B8" s="82"/>
      <c r="C8" s="83"/>
      <c r="D8" s="83"/>
      <c r="E8" s="83"/>
      <c r="F8" s="83"/>
      <c r="G8" s="83"/>
      <c r="H8" s="83"/>
      <c r="I8" s="83"/>
      <c r="J8" s="83"/>
      <c r="K8" s="84"/>
      <c r="L8" s="83"/>
      <c r="M8" s="83"/>
      <c r="N8" s="82"/>
      <c r="O8" s="82"/>
      <c r="P8" s="82"/>
      <c r="Q8" s="82"/>
      <c r="R8" s="82"/>
      <c r="S8" s="85"/>
    </row>
    <row r="9" spans="1:23" ht="40.5" customHeight="1" thickBot="1">
      <c r="A9" s="86" t="s">
        <v>277</v>
      </c>
      <c r="B9" s="87"/>
      <c r="C9" s="88" t="s">
        <v>286</v>
      </c>
      <c r="D9" s="89"/>
      <c r="E9" s="89"/>
      <c r="F9" s="89"/>
      <c r="G9" s="89"/>
      <c r="H9" s="89"/>
      <c r="I9" s="89"/>
      <c r="J9" s="89"/>
      <c r="K9" s="90"/>
      <c r="L9" s="91" t="s">
        <v>126</v>
      </c>
      <c r="M9" s="91" t="s">
        <v>127</v>
      </c>
      <c r="N9" s="71" t="s">
        <v>280</v>
      </c>
      <c r="O9" s="71" t="s">
        <v>128</v>
      </c>
      <c r="P9" s="71" t="s">
        <v>129</v>
      </c>
      <c r="Q9" s="72" t="s">
        <v>14</v>
      </c>
      <c r="R9" s="71" t="s">
        <v>15</v>
      </c>
      <c r="S9" s="72" t="s">
        <v>17</v>
      </c>
      <c r="T9" s="76" t="s">
        <v>130</v>
      </c>
      <c r="U9" s="92" t="s">
        <v>131</v>
      </c>
      <c r="V9" s="92" t="s">
        <v>19</v>
      </c>
      <c r="W9" s="77" t="s">
        <v>132</v>
      </c>
    </row>
    <row r="10" spans="1:23">
      <c r="A10" s="93">
        <v>42736</v>
      </c>
      <c r="B10" s="20" t="s">
        <v>133</v>
      </c>
      <c r="C10" s="77">
        <v>29139.66</v>
      </c>
      <c r="D10" s="77">
        <v>28999.74</v>
      </c>
      <c r="E10" s="77">
        <v>29013.95</v>
      </c>
      <c r="F10" s="77">
        <v>29011.01</v>
      </c>
      <c r="G10" s="77">
        <v>29225.67</v>
      </c>
      <c r="H10" s="77">
        <v>29214.79</v>
      </c>
      <c r="I10" s="77">
        <v>29005.85</v>
      </c>
      <c r="J10" s="77">
        <v>29002.26</v>
      </c>
      <c r="K10" s="77">
        <v>29234.97</v>
      </c>
      <c r="L10" s="94">
        <f>IF((K11=""),"",MAX(C12:K12))</f>
        <v>9513.1200000000026</v>
      </c>
      <c r="M10" s="94">
        <f>IF(K11="","",MIN(C12:K12))</f>
        <v>8462.7600000000057</v>
      </c>
      <c r="N10" s="94">
        <f>IF((K12=""),"",AVERAGE(C12:K12))</f>
        <v>9029.75</v>
      </c>
      <c r="O10" s="94">
        <f>IF((K11=""),"",STDEV(C12:K12))</f>
        <v>340.70216080177732</v>
      </c>
      <c r="P10" s="94">
        <f>IF((K11=""),"",O10/N10*100)</f>
        <v>3.7731073485066289</v>
      </c>
      <c r="Q10" s="95" t="str">
        <f>IF(K11="","",IF(P10&lt;15,IF(N10&gt;9000,IF(N10&lt;15600,"Pass","Fail"),"Fail"),"Fail"))</f>
        <v>Pass</v>
      </c>
      <c r="R10" s="96">
        <v>1400</v>
      </c>
      <c r="S10" s="77" t="s">
        <v>134</v>
      </c>
      <c r="T10" s="97">
        <v>9000</v>
      </c>
      <c r="U10" s="77">
        <v>8090</v>
      </c>
      <c r="V10" s="77">
        <v>12070</v>
      </c>
      <c r="W10" s="77">
        <v>6</v>
      </c>
    </row>
    <row r="11" spans="1:23" ht="15.75" customHeight="1">
      <c r="A11" s="98"/>
      <c r="B11" s="21" t="s">
        <v>135</v>
      </c>
      <c r="C11" s="77">
        <v>26260.14</v>
      </c>
      <c r="D11" s="77">
        <v>26025.23</v>
      </c>
      <c r="E11" s="77">
        <v>26015.61</v>
      </c>
      <c r="F11" s="77">
        <v>25926.85</v>
      </c>
      <c r="G11" s="77">
        <v>26111.56</v>
      </c>
      <c r="H11" s="77">
        <v>26393.87</v>
      </c>
      <c r="I11" s="77">
        <v>26039.01</v>
      </c>
      <c r="J11" s="77">
        <v>25922.45</v>
      </c>
      <c r="K11" s="77">
        <v>26063.93</v>
      </c>
      <c r="L11" s="99"/>
      <c r="M11" s="99"/>
      <c r="N11" s="99"/>
      <c r="O11" s="99"/>
      <c r="P11" s="99"/>
      <c r="Q11" s="100"/>
      <c r="R11" s="101"/>
    </row>
    <row r="12" spans="1:23" ht="16.5" customHeight="1" thickBot="1">
      <c r="A12" s="102"/>
      <c r="B12" s="22" t="s">
        <v>136</v>
      </c>
      <c r="C12" s="23">
        <f t="shared" ref="C12:K12" si="0">IF(((C10="")*AND(C11="")),"",(C10-C11)*3)</f>
        <v>8638.5600000000013</v>
      </c>
      <c r="D12" s="23">
        <f t="shared" si="0"/>
        <v>8923.5300000000061</v>
      </c>
      <c r="E12" s="23">
        <f t="shared" si="0"/>
        <v>8995.02</v>
      </c>
      <c r="F12" s="23">
        <f t="shared" si="0"/>
        <v>9252.48</v>
      </c>
      <c r="G12" s="23">
        <f t="shared" si="0"/>
        <v>9342.3299999999908</v>
      </c>
      <c r="H12" s="23">
        <f t="shared" si="0"/>
        <v>8462.7600000000057</v>
      </c>
      <c r="I12" s="23">
        <f t="shared" si="0"/>
        <v>8900.52</v>
      </c>
      <c r="J12" s="23">
        <f t="shared" si="0"/>
        <v>9239.429999999993</v>
      </c>
      <c r="K12" s="23">
        <f t="shared" si="0"/>
        <v>9513.1200000000026</v>
      </c>
      <c r="L12" s="103"/>
      <c r="M12" s="103"/>
      <c r="N12" s="103"/>
      <c r="O12" s="103"/>
      <c r="P12" s="103"/>
      <c r="Q12" s="104"/>
      <c r="R12" s="105"/>
    </row>
    <row r="13" spans="1:23">
      <c r="A13" s="106">
        <v>42741</v>
      </c>
      <c r="B13" s="20" t="s">
        <v>133</v>
      </c>
      <c r="C13" s="77">
        <v>29171.19</v>
      </c>
      <c r="D13" s="77">
        <v>29014.37</v>
      </c>
      <c r="E13" s="77">
        <v>29060.21</v>
      </c>
      <c r="F13" s="77">
        <v>29027.24</v>
      </c>
      <c r="G13" s="77">
        <v>29282.080000000002</v>
      </c>
      <c r="H13" s="77">
        <v>29171.64</v>
      </c>
      <c r="I13" s="77">
        <v>29005.71</v>
      </c>
      <c r="J13" s="77">
        <v>29022.99</v>
      </c>
      <c r="K13" s="77">
        <v>29204.959999999999</v>
      </c>
      <c r="L13" s="94">
        <f>IF((K14=""),"",MAX(C15:K15))</f>
        <v>10018.319999999996</v>
      </c>
      <c r="M13" s="94">
        <f>IF(K14="","",MIN(C15:K15))</f>
        <v>8862.3900000000031</v>
      </c>
      <c r="N13" s="94">
        <f>IF((K15=""),"",AVERAGE(C15:K15))</f>
        <v>9436.9033333333318</v>
      </c>
      <c r="O13" s="94">
        <f>IF((K14=""),"",STDEV(C15:K15))</f>
        <v>369.20942749344749</v>
      </c>
      <c r="P13" s="94">
        <f>IF((K14=""),"",O13/N13*100)</f>
        <v>3.9124002276182499</v>
      </c>
      <c r="Q13" s="95" t="str">
        <f>IF(K14="","",IF(P13&lt;15,IF(N13&gt;9000,IF(N13&lt;15600,"Pass","Fail"),"Fail"),"Fail"))</f>
        <v>Pass</v>
      </c>
      <c r="R13" s="96">
        <v>1335</v>
      </c>
      <c r="T13" s="97">
        <v>9000</v>
      </c>
      <c r="U13" s="77">
        <v>8090</v>
      </c>
      <c r="V13" s="77">
        <v>12070</v>
      </c>
      <c r="W13" s="77">
        <v>6</v>
      </c>
    </row>
    <row r="14" spans="1:23" ht="15.75" customHeight="1">
      <c r="A14" s="107"/>
      <c r="B14" s="21" t="s">
        <v>135</v>
      </c>
      <c r="C14" s="77">
        <v>26190.23</v>
      </c>
      <c r="D14" s="77">
        <v>25899.52</v>
      </c>
      <c r="E14" s="77">
        <v>25911.75</v>
      </c>
      <c r="F14" s="77">
        <v>25807.09</v>
      </c>
      <c r="G14" s="77">
        <v>26058.01</v>
      </c>
      <c r="H14" s="77">
        <v>26217.51</v>
      </c>
      <c r="I14" s="77">
        <v>25898.21</v>
      </c>
      <c r="J14" s="77">
        <v>25801.84</v>
      </c>
      <c r="K14" s="77">
        <v>25865.52</v>
      </c>
      <c r="L14" s="99"/>
      <c r="M14" s="99"/>
      <c r="N14" s="99"/>
      <c r="O14" s="99"/>
      <c r="P14" s="99"/>
      <c r="Q14" s="100"/>
      <c r="R14" s="101"/>
    </row>
    <row r="15" spans="1:23" ht="16.5" customHeight="1" thickBot="1">
      <c r="A15" s="108"/>
      <c r="B15" s="22" t="s">
        <v>136</v>
      </c>
      <c r="C15" s="23">
        <f t="shared" ref="C15:K15" si="1">IF(((C13="")*AND(C14="")),"",(C13-C14)*3)</f>
        <v>8942.8799999999974</v>
      </c>
      <c r="D15" s="23">
        <f t="shared" si="1"/>
        <v>9344.5499999999956</v>
      </c>
      <c r="E15" s="23">
        <f t="shared" si="1"/>
        <v>9445.3799999999974</v>
      </c>
      <c r="F15" s="23">
        <f t="shared" si="1"/>
        <v>9660.4500000000044</v>
      </c>
      <c r="G15" s="23">
        <f t="shared" si="1"/>
        <v>9672.21000000001</v>
      </c>
      <c r="H15" s="23">
        <f t="shared" si="1"/>
        <v>8862.3900000000031</v>
      </c>
      <c r="I15" s="23">
        <f t="shared" si="1"/>
        <v>9322.5</v>
      </c>
      <c r="J15" s="23">
        <f t="shared" si="1"/>
        <v>9663.4500000000044</v>
      </c>
      <c r="K15" s="23">
        <f t="shared" si="1"/>
        <v>10018.319999999996</v>
      </c>
      <c r="L15" s="103"/>
      <c r="M15" s="103"/>
      <c r="N15" s="103"/>
      <c r="O15" s="103"/>
      <c r="P15" s="103"/>
      <c r="Q15" s="104"/>
      <c r="R15" s="105"/>
    </row>
    <row r="16" spans="1:23">
      <c r="A16" s="93">
        <v>42745</v>
      </c>
      <c r="B16" s="20" t="s">
        <v>133</v>
      </c>
      <c r="C16" s="77">
        <v>29014.55</v>
      </c>
      <c r="D16" s="77">
        <v>29005.58</v>
      </c>
      <c r="E16" s="77">
        <v>29045.9</v>
      </c>
      <c r="F16" s="77">
        <v>29002.93</v>
      </c>
      <c r="G16" s="77">
        <v>29140.65</v>
      </c>
      <c r="H16" s="77">
        <v>29078.17</v>
      </c>
      <c r="I16" s="77">
        <v>28991.41</v>
      </c>
      <c r="J16" s="77">
        <v>29012.01</v>
      </c>
      <c r="K16" s="77">
        <v>29253.56</v>
      </c>
      <c r="L16" s="94">
        <f>IF((K17=""),"",MAX(C18:K18))</f>
        <v>9641.7900000000009</v>
      </c>
      <c r="M16" s="94">
        <f>IF(K17="","",MIN(C18:K18))</f>
        <v>8529.2099999999991</v>
      </c>
      <c r="N16" s="94">
        <f>IF((K18=""),"",AVERAGE(C18:K18))</f>
        <v>9092.380000000001</v>
      </c>
      <c r="O16" s="94">
        <f>IF((K17=""),"",STDEV(C18:K18))</f>
        <v>324.40999025151058</v>
      </c>
      <c r="P16" s="94">
        <f>IF((K17=""),"",O16/N16*100)</f>
        <v>3.5679326012717305</v>
      </c>
      <c r="Q16" s="95" t="str">
        <f>IF(K17="","",IF(P16&lt;15,IF(N16&gt;9000,IF(N16&lt;15600,"Pass","Fail"),"Fail"),"Fail"))</f>
        <v>Pass</v>
      </c>
      <c r="R16" s="96">
        <v>1159</v>
      </c>
      <c r="S16" s="77" t="s">
        <v>137</v>
      </c>
      <c r="T16" s="97">
        <v>9000</v>
      </c>
      <c r="U16" s="77">
        <v>8090</v>
      </c>
      <c r="V16" s="77">
        <v>12070</v>
      </c>
      <c r="W16" s="77">
        <v>6</v>
      </c>
    </row>
    <row r="17" spans="1:23">
      <c r="A17" s="98"/>
      <c r="B17" s="21" t="s">
        <v>135</v>
      </c>
      <c r="C17" s="77">
        <v>26018.37</v>
      </c>
      <c r="D17" s="77">
        <v>26006.880000000001</v>
      </c>
      <c r="E17" s="77">
        <v>26036.61</v>
      </c>
      <c r="F17" s="77">
        <v>25916.44</v>
      </c>
      <c r="G17" s="77">
        <v>25926.720000000001</v>
      </c>
      <c r="H17" s="77">
        <v>26235.1</v>
      </c>
      <c r="I17" s="77">
        <v>26056.55</v>
      </c>
      <c r="J17" s="77">
        <v>25936.2</v>
      </c>
      <c r="K17" s="77">
        <v>26134.75</v>
      </c>
      <c r="L17" s="99"/>
      <c r="M17" s="99"/>
      <c r="N17" s="99"/>
      <c r="O17" s="99"/>
      <c r="P17" s="99"/>
      <c r="Q17" s="100"/>
      <c r="R17" s="101"/>
    </row>
    <row r="18" spans="1:23" ht="15.75" thickBot="1">
      <c r="A18" s="102"/>
      <c r="B18" s="22" t="s">
        <v>136</v>
      </c>
      <c r="C18" s="23">
        <f t="shared" ref="C18:K18" si="2">IF(((C16="")*AND(C17="")),"",(C16-C17)*3)</f>
        <v>8988.5400000000009</v>
      </c>
      <c r="D18" s="23">
        <f t="shared" si="2"/>
        <v>8996.1000000000022</v>
      </c>
      <c r="E18" s="23">
        <f t="shared" si="2"/>
        <v>9027.8700000000026</v>
      </c>
      <c r="F18" s="23">
        <f t="shared" si="2"/>
        <v>9259.4700000000048</v>
      </c>
      <c r="G18" s="23">
        <f t="shared" si="2"/>
        <v>9641.7900000000009</v>
      </c>
      <c r="H18" s="23">
        <f t="shared" si="2"/>
        <v>8529.2099999999991</v>
      </c>
      <c r="I18" s="23">
        <f t="shared" si="2"/>
        <v>8804.5800000000017</v>
      </c>
      <c r="J18" s="23">
        <f t="shared" si="2"/>
        <v>9227.429999999993</v>
      </c>
      <c r="K18" s="23">
        <f t="shared" si="2"/>
        <v>9356.4300000000039</v>
      </c>
      <c r="L18" s="103"/>
      <c r="M18" s="103"/>
      <c r="N18" s="103"/>
      <c r="O18" s="103"/>
      <c r="P18" s="103"/>
      <c r="Q18" s="104"/>
      <c r="R18" s="105"/>
    </row>
    <row r="19" spans="1:23">
      <c r="A19" s="93">
        <v>42759</v>
      </c>
      <c r="B19" s="20" t="s">
        <v>133</v>
      </c>
      <c r="C19" s="77">
        <v>29013.18</v>
      </c>
      <c r="D19" s="77">
        <v>28825.84</v>
      </c>
      <c r="E19" s="77">
        <v>28855</v>
      </c>
      <c r="F19" s="77">
        <v>28805.79</v>
      </c>
      <c r="G19" s="77">
        <v>29006.81</v>
      </c>
      <c r="H19" s="77">
        <v>28950.55</v>
      </c>
      <c r="I19" s="77">
        <v>28803.73</v>
      </c>
      <c r="J19" s="77">
        <v>28805.759999999998</v>
      </c>
      <c r="K19" s="77">
        <v>29049.27</v>
      </c>
      <c r="L19" s="94">
        <f>IF((K20=""),"",MAX(C21:K21))</f>
        <v>10267.740000000005</v>
      </c>
      <c r="M19" s="94">
        <f>IF(K20="","",MIN(C21:K21))</f>
        <v>9212.0400000000009</v>
      </c>
      <c r="N19" s="94">
        <f>IF((K21=""),"",AVERAGE(C21:K21))</f>
        <v>9830.9133333333339</v>
      </c>
      <c r="O19" s="94">
        <f>IF((K20=""),"",STDEV(C21:K21))</f>
        <v>323.28573193849564</v>
      </c>
      <c r="P19" s="94">
        <f>IF((K20=""),"",O19/N19*100)</f>
        <v>3.2884608070172079</v>
      </c>
      <c r="Q19" s="95" t="str">
        <f>IF(K20="","",IF(P19&lt;15,IF(N19&gt;9000,IF(N19&lt;15600,"Pass","Fail"),"Fail"),"Fail"))</f>
        <v>Pass</v>
      </c>
      <c r="R19" s="96">
        <v>1159</v>
      </c>
      <c r="S19" s="77" t="s">
        <v>138</v>
      </c>
      <c r="T19" s="97">
        <v>9000</v>
      </c>
      <c r="U19" s="77">
        <v>8090</v>
      </c>
      <c r="V19" s="77">
        <v>12070</v>
      </c>
      <c r="W19" s="77">
        <v>6</v>
      </c>
    </row>
    <row r="20" spans="1:23">
      <c r="A20" s="107"/>
      <c r="B20" s="21" t="s">
        <v>135</v>
      </c>
      <c r="C20" s="77">
        <v>25850.22</v>
      </c>
      <c r="D20" s="77">
        <v>25550.26</v>
      </c>
      <c r="E20" s="77">
        <v>25565.58</v>
      </c>
      <c r="F20" s="77">
        <v>25450.93</v>
      </c>
      <c r="G20" s="77">
        <v>25676.98</v>
      </c>
      <c r="H20" s="77">
        <v>25879.87</v>
      </c>
      <c r="I20" s="77">
        <v>25567.7</v>
      </c>
      <c r="J20" s="77">
        <v>25454.959999999999</v>
      </c>
      <c r="K20" s="77">
        <v>25626.69</v>
      </c>
      <c r="L20" s="99"/>
      <c r="M20" s="99"/>
      <c r="N20" s="99"/>
      <c r="O20" s="99"/>
      <c r="P20" s="99"/>
      <c r="Q20" s="100"/>
      <c r="R20" s="101"/>
      <c r="T20" s="97">
        <v>9000</v>
      </c>
      <c r="U20" s="77">
        <v>8090</v>
      </c>
      <c r="V20" s="77">
        <v>12070</v>
      </c>
    </row>
    <row r="21" spans="1:23" ht="15.75" thickBot="1">
      <c r="A21" s="108"/>
      <c r="B21" s="22" t="s">
        <v>136</v>
      </c>
      <c r="C21" s="23">
        <f t="shared" ref="C21:K21" si="3">IF(((C19="")*AND(C20="")),"",(C19-C20)*3)</f>
        <v>9488.8799999999974</v>
      </c>
      <c r="D21" s="23">
        <f t="shared" si="3"/>
        <v>9826.7400000000052</v>
      </c>
      <c r="E21" s="23">
        <f t="shared" si="3"/>
        <v>9868.2599999999948</v>
      </c>
      <c r="F21" s="23">
        <f t="shared" si="3"/>
        <v>10064.580000000002</v>
      </c>
      <c r="G21" s="23">
        <f t="shared" si="3"/>
        <v>9989.4900000000052</v>
      </c>
      <c r="H21" s="23">
        <f t="shared" si="3"/>
        <v>9212.0400000000009</v>
      </c>
      <c r="I21" s="23">
        <f t="shared" si="3"/>
        <v>9708.0899999999965</v>
      </c>
      <c r="J21" s="23">
        <f t="shared" si="3"/>
        <v>10052.399999999998</v>
      </c>
      <c r="K21" s="23">
        <f t="shared" si="3"/>
        <v>10267.740000000005</v>
      </c>
      <c r="L21" s="103"/>
      <c r="M21" s="103"/>
      <c r="N21" s="103"/>
      <c r="O21" s="103"/>
      <c r="P21" s="103"/>
      <c r="Q21" s="104"/>
      <c r="R21" s="105"/>
      <c r="T21" s="97">
        <v>9000</v>
      </c>
      <c r="U21" s="77">
        <v>8090</v>
      </c>
      <c r="V21" s="77">
        <v>12070</v>
      </c>
    </row>
    <row r="22" spans="1:23">
      <c r="A22" s="106">
        <v>42764</v>
      </c>
      <c r="B22" s="20" t="s">
        <v>133</v>
      </c>
      <c r="C22" s="77">
        <v>28985.360000000001</v>
      </c>
      <c r="D22" s="77">
        <v>28807.67</v>
      </c>
      <c r="E22" s="77">
        <v>28811.86</v>
      </c>
      <c r="F22" s="77">
        <v>28809.67</v>
      </c>
      <c r="G22" s="77">
        <v>29048.400000000001</v>
      </c>
      <c r="H22" s="77">
        <v>28966.720000000001</v>
      </c>
      <c r="I22" s="77">
        <v>28802.05</v>
      </c>
      <c r="J22" s="77">
        <v>28810.959999999999</v>
      </c>
      <c r="K22" s="77">
        <v>29050.41</v>
      </c>
      <c r="L22" s="94">
        <f>IF((K23=""),"",MAX(C24:K24))</f>
        <v>10430.339999999997</v>
      </c>
      <c r="M22" s="94">
        <f>IF(K23="","",MIN(C24:K24))</f>
        <v>9330.2099999999991</v>
      </c>
      <c r="N22" s="94">
        <f>IF((K24=""),"",AVERAGE(C24:K24))</f>
        <v>9934.5533333333315</v>
      </c>
      <c r="O22" s="94">
        <f>IF((K23=""),"",STDEV(C24:K24))</f>
        <v>334.4325677921131</v>
      </c>
      <c r="P22" s="94">
        <f>IF((K23=""),"",O22/N22*100)</f>
        <v>3.366357364754327</v>
      </c>
      <c r="Q22" s="95" t="str">
        <f>IF(K23="","",IF(P22&lt;15,IF(N22&gt;9000,IF(N22&lt;15600,"Pass","Fail"),"Fail"),"Fail"))</f>
        <v>Pass</v>
      </c>
      <c r="R22" s="96">
        <v>1400</v>
      </c>
      <c r="S22" s="77" t="s">
        <v>139</v>
      </c>
      <c r="T22" s="97">
        <v>9000</v>
      </c>
      <c r="U22" s="77">
        <v>8090</v>
      </c>
      <c r="V22" s="77">
        <v>12070</v>
      </c>
      <c r="W22" s="77">
        <v>6</v>
      </c>
    </row>
    <row r="23" spans="1:23">
      <c r="A23" s="107"/>
      <c r="B23" s="21" t="s">
        <v>135</v>
      </c>
      <c r="C23" s="77">
        <v>25806.43</v>
      </c>
      <c r="D23" s="77">
        <v>25506.43</v>
      </c>
      <c r="E23" s="77">
        <v>25479.46</v>
      </c>
      <c r="F23" s="77">
        <v>25431.52</v>
      </c>
      <c r="G23" s="77">
        <v>25692.880000000001</v>
      </c>
      <c r="H23" s="77">
        <v>25856.65</v>
      </c>
      <c r="I23" s="77">
        <v>25521.07</v>
      </c>
      <c r="J23" s="77">
        <v>25421.37</v>
      </c>
      <c r="K23" s="77">
        <v>25573.63</v>
      </c>
      <c r="L23" s="99"/>
      <c r="M23" s="99"/>
      <c r="N23" s="99"/>
      <c r="O23" s="99"/>
      <c r="P23" s="99"/>
      <c r="Q23" s="100"/>
      <c r="R23" s="101"/>
      <c r="T23" s="97">
        <v>9000</v>
      </c>
      <c r="U23" s="77">
        <v>8090</v>
      </c>
      <c r="V23" s="77">
        <v>12070</v>
      </c>
    </row>
    <row r="24" spans="1:23" ht="15.75" thickBot="1">
      <c r="A24" s="108"/>
      <c r="B24" s="22" t="s">
        <v>136</v>
      </c>
      <c r="C24" s="23">
        <f t="shared" ref="C24:K24" si="4">IF(((C22="")*AND(C23="")),"",(C22-C23)*3)</f>
        <v>9536.7900000000009</v>
      </c>
      <c r="D24" s="23">
        <f t="shared" si="4"/>
        <v>9903.7199999999939</v>
      </c>
      <c r="E24" s="23">
        <f t="shared" si="4"/>
        <v>9997.2000000000044</v>
      </c>
      <c r="F24" s="23">
        <f t="shared" si="4"/>
        <v>10134.449999999993</v>
      </c>
      <c r="G24" s="23">
        <f t="shared" si="4"/>
        <v>10066.560000000001</v>
      </c>
      <c r="H24" s="23">
        <f t="shared" si="4"/>
        <v>9330.2099999999991</v>
      </c>
      <c r="I24" s="23">
        <f t="shared" si="4"/>
        <v>9842.9399999999987</v>
      </c>
      <c r="J24" s="23">
        <f t="shared" si="4"/>
        <v>10168.77</v>
      </c>
      <c r="K24" s="23">
        <f t="shared" si="4"/>
        <v>10430.339999999997</v>
      </c>
      <c r="L24" s="103"/>
      <c r="M24" s="103"/>
      <c r="N24" s="103"/>
      <c r="O24" s="103"/>
      <c r="P24" s="103"/>
      <c r="Q24" s="104"/>
      <c r="R24" s="105"/>
      <c r="T24" s="97">
        <v>9000</v>
      </c>
      <c r="U24" s="77">
        <v>8090</v>
      </c>
      <c r="V24" s="77">
        <v>12070</v>
      </c>
    </row>
    <row r="25" spans="1:23">
      <c r="A25" s="106">
        <v>42768</v>
      </c>
      <c r="B25" s="20" t="s">
        <v>133</v>
      </c>
      <c r="C25" s="77">
        <v>29002.46</v>
      </c>
      <c r="D25" s="77">
        <v>28805.75</v>
      </c>
      <c r="E25" s="77">
        <v>28796.68</v>
      </c>
      <c r="F25" s="77">
        <v>28798.51</v>
      </c>
      <c r="G25" s="77">
        <v>29024.71</v>
      </c>
      <c r="H25" s="77">
        <v>28954.720000000001</v>
      </c>
      <c r="I25" s="77">
        <v>28800.84</v>
      </c>
      <c r="J25" s="77">
        <v>28786.27</v>
      </c>
      <c r="K25" s="77">
        <v>28976.38</v>
      </c>
      <c r="L25" s="94">
        <f>IF((K26=""),"",MAX(C27:K27))</f>
        <v>9645.9900000000052</v>
      </c>
      <c r="M25" s="94">
        <f>IF(K26="","",MIN(C27:K27))</f>
        <v>8739.7799999999952</v>
      </c>
      <c r="N25" s="94">
        <f>IF((K27=""),"",AVERAGE(C27:K27))</f>
        <v>9254.093333333336</v>
      </c>
      <c r="O25" s="94">
        <f>IF((K26=""),"",STDEV(C27:K27))</f>
        <v>308.12131831470299</v>
      </c>
      <c r="P25" s="94">
        <f>IF((K26=""),"",O25/N25*100)</f>
        <v>3.329567870304992</v>
      </c>
      <c r="Q25" s="95" t="str">
        <f>IF(K26="","",IF(P25&lt;15,IF(N25&gt;9000,IF(N25&lt;15600,"Pass","Fail"),"Fail"),"Fail"))</f>
        <v>Pass</v>
      </c>
      <c r="R25" s="96">
        <v>1159</v>
      </c>
      <c r="S25" s="77" t="s">
        <v>140</v>
      </c>
      <c r="T25" s="97">
        <v>9000</v>
      </c>
      <c r="U25" s="77">
        <v>8090</v>
      </c>
      <c r="V25" s="77">
        <v>12070</v>
      </c>
      <c r="W25" s="77">
        <v>6</v>
      </c>
    </row>
    <row r="26" spans="1:23">
      <c r="A26" s="107"/>
      <c r="B26" s="21" t="s">
        <v>135</v>
      </c>
      <c r="C26" s="77">
        <v>26089.200000000001</v>
      </c>
      <c r="D26" s="77">
        <v>25737.01</v>
      </c>
      <c r="E26" s="77">
        <v>25703.94</v>
      </c>
      <c r="F26" s="77">
        <v>25635.64</v>
      </c>
      <c r="G26" s="77">
        <v>25884.7</v>
      </c>
      <c r="H26" s="77">
        <v>26018.76</v>
      </c>
      <c r="I26" s="77">
        <v>25730.39</v>
      </c>
      <c r="J26" s="77">
        <v>25623.35</v>
      </c>
      <c r="K26" s="77">
        <v>25761.05</v>
      </c>
      <c r="L26" s="99"/>
      <c r="M26" s="99"/>
      <c r="N26" s="99"/>
      <c r="O26" s="99"/>
      <c r="P26" s="99"/>
      <c r="Q26" s="100"/>
      <c r="R26" s="101"/>
      <c r="T26" s="97">
        <v>9000</v>
      </c>
      <c r="U26" s="77">
        <v>8090</v>
      </c>
      <c r="V26" s="77">
        <v>12070</v>
      </c>
    </row>
    <row r="27" spans="1:23" ht="15.75" thickBot="1">
      <c r="A27" s="108"/>
      <c r="B27" s="22" t="s">
        <v>136</v>
      </c>
      <c r="C27" s="23">
        <f t="shared" ref="C27:K27" si="5">IF(((C25="")*AND(C26="")),"",(C25-C26)*3)</f>
        <v>8739.7799999999952</v>
      </c>
      <c r="D27" s="23">
        <f t="shared" si="5"/>
        <v>9206.2200000000048</v>
      </c>
      <c r="E27" s="23">
        <f t="shared" si="5"/>
        <v>9278.2200000000048</v>
      </c>
      <c r="F27" s="23">
        <f t="shared" si="5"/>
        <v>9488.6099999999969</v>
      </c>
      <c r="G27" s="23">
        <f t="shared" si="5"/>
        <v>9420.0299999999952</v>
      </c>
      <c r="H27" s="23">
        <f t="shared" si="5"/>
        <v>8807.8800000000083</v>
      </c>
      <c r="I27" s="23">
        <f t="shared" si="5"/>
        <v>9211.3500000000022</v>
      </c>
      <c r="J27" s="23">
        <f t="shared" si="5"/>
        <v>9488.7600000000057</v>
      </c>
      <c r="K27" s="23">
        <f t="shared" si="5"/>
        <v>9645.9900000000052</v>
      </c>
      <c r="L27" s="103"/>
      <c r="M27" s="103"/>
      <c r="N27" s="103"/>
      <c r="O27" s="103"/>
      <c r="P27" s="103"/>
      <c r="Q27" s="104"/>
      <c r="R27" s="105"/>
      <c r="T27" s="97">
        <v>9000</v>
      </c>
      <c r="U27" s="77">
        <v>8090</v>
      </c>
      <c r="V27" s="77">
        <v>12070</v>
      </c>
    </row>
    <row r="28" spans="1:23">
      <c r="A28" s="106">
        <v>42772</v>
      </c>
      <c r="B28" s="20" t="s">
        <v>133</v>
      </c>
      <c r="C28" s="77">
        <v>28899.98</v>
      </c>
      <c r="D28" s="77">
        <v>28756.41</v>
      </c>
      <c r="E28" s="77">
        <v>28767.59</v>
      </c>
      <c r="F28" s="77">
        <v>28766.66</v>
      </c>
      <c r="G28" s="77">
        <v>28964.35</v>
      </c>
      <c r="H28" s="77">
        <v>28933.23</v>
      </c>
      <c r="I28" s="77">
        <v>28759.27</v>
      </c>
      <c r="J28" s="77">
        <v>28758.19</v>
      </c>
      <c r="K28" s="77">
        <v>29011.58</v>
      </c>
      <c r="L28" s="94">
        <f>IF((K29=""),"",MAX(C30:K30))</f>
        <v>9675.3600000000079</v>
      </c>
      <c r="M28" s="94">
        <f>IF(K29="","",MIN(C30:K30))</f>
        <v>8721.5099999999948</v>
      </c>
      <c r="N28" s="94">
        <f>IF((K30=""),"",AVERAGE(C30:K30))</f>
        <v>9305.4433333333327</v>
      </c>
      <c r="O28" s="94">
        <f>IF((K29=""),"",STDEV(C30:K30))</f>
        <v>328.26512566064611</v>
      </c>
      <c r="P28" s="94">
        <f>IF((K29=""),"",O28/N28*100)</f>
        <v>3.5276677736003923</v>
      </c>
      <c r="Q28" s="95" t="str">
        <f>IF(K29="","",IF(P28&lt;15,IF(N28&gt;9000,IF(N28&lt;15600,"Pass","Fail"),"Fail"),"Fail"))</f>
        <v>Pass</v>
      </c>
      <c r="R28" s="96"/>
      <c r="S28" s="77" t="s">
        <v>141</v>
      </c>
      <c r="T28" s="97">
        <v>9000</v>
      </c>
      <c r="U28" s="77">
        <v>8090</v>
      </c>
      <c r="V28" s="77">
        <v>12070</v>
      </c>
      <c r="W28" s="77">
        <v>6</v>
      </c>
    </row>
    <row r="29" spans="1:23">
      <c r="A29" s="107"/>
      <c r="B29" s="21" t="s">
        <v>135</v>
      </c>
      <c r="C29" s="77">
        <v>25944.59</v>
      </c>
      <c r="D29" s="77">
        <v>25673.07</v>
      </c>
      <c r="E29" s="77">
        <v>25641.62</v>
      </c>
      <c r="F29" s="77">
        <v>25579.62</v>
      </c>
      <c r="G29" s="77">
        <v>25778.27</v>
      </c>
      <c r="H29" s="77">
        <v>26026.06</v>
      </c>
      <c r="I29" s="77">
        <v>25686.45</v>
      </c>
      <c r="J29" s="77">
        <v>25584.79</v>
      </c>
      <c r="K29" s="77">
        <v>25786.46</v>
      </c>
      <c r="L29" s="99"/>
      <c r="M29" s="99"/>
      <c r="N29" s="99"/>
      <c r="O29" s="99"/>
      <c r="P29" s="99"/>
      <c r="Q29" s="100"/>
      <c r="R29" s="101"/>
      <c r="T29" s="97">
        <v>9000</v>
      </c>
      <c r="U29" s="77">
        <v>8090</v>
      </c>
      <c r="V29" s="77">
        <v>12070</v>
      </c>
    </row>
    <row r="30" spans="1:23" ht="15.75" thickBot="1">
      <c r="A30" s="108"/>
      <c r="B30" s="22" t="s">
        <v>136</v>
      </c>
      <c r="C30" s="23">
        <f t="shared" ref="C30:K30" si="6">IF(((C28="")*AND(C29="")),"",(C28-C29)*3)</f>
        <v>8866.1699999999983</v>
      </c>
      <c r="D30" s="23">
        <f t="shared" si="6"/>
        <v>9250.02</v>
      </c>
      <c r="E30" s="23">
        <f t="shared" si="6"/>
        <v>9377.9100000000035</v>
      </c>
      <c r="F30" s="23">
        <f t="shared" si="6"/>
        <v>9561.1200000000026</v>
      </c>
      <c r="G30" s="23">
        <f t="shared" si="6"/>
        <v>9558.2399999999943</v>
      </c>
      <c r="H30" s="23">
        <f t="shared" si="6"/>
        <v>8721.5099999999948</v>
      </c>
      <c r="I30" s="23">
        <f t="shared" si="6"/>
        <v>9218.4599999999991</v>
      </c>
      <c r="J30" s="23">
        <f t="shared" si="6"/>
        <v>9520.1999999999935</v>
      </c>
      <c r="K30" s="23">
        <f t="shared" si="6"/>
        <v>9675.3600000000079</v>
      </c>
      <c r="L30" s="103"/>
      <c r="M30" s="103"/>
      <c r="N30" s="103"/>
      <c r="O30" s="103"/>
      <c r="P30" s="103"/>
      <c r="Q30" s="104"/>
      <c r="R30" s="105"/>
      <c r="T30" s="97">
        <v>9000</v>
      </c>
      <c r="U30" s="77">
        <v>8090</v>
      </c>
      <c r="V30" s="77">
        <v>12070</v>
      </c>
    </row>
    <row r="31" spans="1:23">
      <c r="A31" s="106">
        <v>42779</v>
      </c>
      <c r="B31" s="20" t="s">
        <v>133</v>
      </c>
      <c r="C31" s="77">
        <v>29075.34</v>
      </c>
      <c r="D31" s="77">
        <v>28897.16</v>
      </c>
      <c r="E31" s="77">
        <v>28929.34</v>
      </c>
      <c r="F31" s="77">
        <v>28873.040000000001</v>
      </c>
      <c r="G31" s="77">
        <v>29150.37</v>
      </c>
      <c r="H31" s="77">
        <v>29014.98</v>
      </c>
      <c r="I31" s="77">
        <v>28836.9</v>
      </c>
      <c r="J31" s="77">
        <v>28888.5</v>
      </c>
      <c r="K31" s="77">
        <v>29063.14</v>
      </c>
      <c r="L31" s="94">
        <f>IF((K32=""),"",MAX(C33:K33))</f>
        <v>8288.2199999999939</v>
      </c>
      <c r="M31" s="94">
        <f>IF(K32="","",MIN(C33:K33))</f>
        <v>7196.6999999999935</v>
      </c>
      <c r="N31" s="94">
        <f>IF((K33=""),"",AVERAGE(C33:K33))</f>
        <v>7753.0266666666657</v>
      </c>
      <c r="O31" s="94">
        <f>IF((K32=""),"",STDEV(C33:K33))</f>
        <v>340.56977284399443</v>
      </c>
      <c r="P31" s="94">
        <f>IF((K32=""),"",O31/N31*100)</f>
        <v>4.3927331542433468</v>
      </c>
      <c r="Q31" s="95" t="str">
        <f>IF(K32="","",IF(P31&lt;15,IF(N31&gt;9000,IF(N31&lt;15600,"Pass","Fail"),"Fail"),"Fail"))</f>
        <v>Fail</v>
      </c>
      <c r="R31" s="96">
        <v>1335</v>
      </c>
      <c r="T31" s="97">
        <v>9000</v>
      </c>
      <c r="U31" s="77">
        <v>8090</v>
      </c>
      <c r="V31" s="77">
        <v>12070</v>
      </c>
      <c r="W31" s="77">
        <v>6</v>
      </c>
    </row>
    <row r="32" spans="1:23">
      <c r="A32" s="107"/>
      <c r="B32" s="21" t="s">
        <v>135</v>
      </c>
      <c r="C32" s="77">
        <v>26573.64</v>
      </c>
      <c r="D32" s="77">
        <v>26363.21</v>
      </c>
      <c r="E32" s="77">
        <v>26317.200000000001</v>
      </c>
      <c r="F32" s="77">
        <v>26203.46</v>
      </c>
      <c r="G32" s="77">
        <v>26495.9</v>
      </c>
      <c r="H32" s="77">
        <v>26616.080000000002</v>
      </c>
      <c r="I32" s="77">
        <v>26356.66</v>
      </c>
      <c r="J32" s="77">
        <v>26243.14</v>
      </c>
      <c r="K32" s="77">
        <v>26300.400000000001</v>
      </c>
      <c r="L32" s="99"/>
      <c r="M32" s="99"/>
      <c r="N32" s="99"/>
      <c r="O32" s="99"/>
      <c r="P32" s="99"/>
      <c r="Q32" s="100"/>
      <c r="R32" s="101"/>
      <c r="T32" s="97">
        <v>9000</v>
      </c>
      <c r="U32" s="77">
        <v>8090</v>
      </c>
      <c r="V32" s="77">
        <v>12070</v>
      </c>
    </row>
    <row r="33" spans="1:23" ht="15.75" thickBot="1">
      <c r="A33" s="108"/>
      <c r="B33" s="22" t="s">
        <v>136</v>
      </c>
      <c r="C33" s="23">
        <f t="shared" ref="C33:K33" si="7">IF(((C31="")*AND(C32="")),"",(C31-C32)*3)</f>
        <v>7505.1000000000022</v>
      </c>
      <c r="D33" s="23">
        <f t="shared" si="7"/>
        <v>7601.8500000000022</v>
      </c>
      <c r="E33" s="23">
        <f t="shared" si="7"/>
        <v>7836.4199999999983</v>
      </c>
      <c r="F33" s="23">
        <f t="shared" si="7"/>
        <v>8008.7400000000052</v>
      </c>
      <c r="G33" s="23">
        <f t="shared" si="7"/>
        <v>7963.4099999999926</v>
      </c>
      <c r="H33" s="23">
        <f t="shared" si="7"/>
        <v>7196.6999999999935</v>
      </c>
      <c r="I33" s="23">
        <f t="shared" si="7"/>
        <v>7440.7200000000048</v>
      </c>
      <c r="J33" s="23">
        <f t="shared" si="7"/>
        <v>7936.0800000000017</v>
      </c>
      <c r="K33" s="23">
        <f t="shared" si="7"/>
        <v>8288.2199999999939</v>
      </c>
      <c r="L33" s="103"/>
      <c r="M33" s="103"/>
      <c r="N33" s="103"/>
      <c r="O33" s="103"/>
      <c r="P33" s="103"/>
      <c r="Q33" s="104"/>
      <c r="R33" s="105"/>
      <c r="T33" s="97">
        <v>9000</v>
      </c>
      <c r="U33" s="77">
        <v>8090</v>
      </c>
      <c r="V33" s="77">
        <v>12070</v>
      </c>
    </row>
    <row r="34" spans="1:23">
      <c r="A34" s="106">
        <v>42779</v>
      </c>
      <c r="B34" s="20" t="s">
        <v>133</v>
      </c>
      <c r="C34" s="77">
        <v>29096.560000000001</v>
      </c>
      <c r="D34" s="77">
        <v>28907.85</v>
      </c>
      <c r="E34" s="77">
        <v>28901.14</v>
      </c>
      <c r="F34" s="77">
        <v>28900.85</v>
      </c>
      <c r="G34" s="77">
        <v>29094.959999999999</v>
      </c>
      <c r="H34" s="77">
        <v>29069.41</v>
      </c>
      <c r="I34" s="77">
        <v>28888.59</v>
      </c>
      <c r="J34" s="77">
        <v>28895.56</v>
      </c>
      <c r="K34" s="77">
        <v>29145.08</v>
      </c>
      <c r="L34" s="94">
        <f>IF((K35=""),"",MAX(C36:K36))</f>
        <v>9563.7900000000009</v>
      </c>
      <c r="M34" s="94">
        <f>IF(K35="","",MIN(C36:K36))</f>
        <v>8561.1299999999974</v>
      </c>
      <c r="N34" s="94">
        <f>IF((K36=""),"",AVERAGE(C36:K36))</f>
        <v>9168.7999999999975</v>
      </c>
      <c r="O34" s="94">
        <f>IF((K35=""),"",STDEV(C36:K36))</f>
        <v>323.13805590650895</v>
      </c>
      <c r="P34" s="94">
        <f>IF((K35=""),"",O34/N34*100)</f>
        <v>3.5243222221720294</v>
      </c>
      <c r="Q34" s="95" t="str">
        <f>IF(K35="","",IF(P34&lt;15,IF(N34&gt;9000,IF(N34&lt;15600,"Pass","Fail"),"Fail"),"Fail"))</f>
        <v>Pass</v>
      </c>
      <c r="R34" s="96">
        <v>1335</v>
      </c>
      <c r="S34" s="77" t="s">
        <v>142</v>
      </c>
      <c r="T34" s="97">
        <v>9000</v>
      </c>
      <c r="U34" s="77">
        <v>8090</v>
      </c>
      <c r="V34" s="77">
        <v>12070</v>
      </c>
      <c r="W34" s="77">
        <v>6</v>
      </c>
    </row>
    <row r="35" spans="1:23">
      <c r="A35" s="107"/>
      <c r="B35" s="21" t="s">
        <v>135</v>
      </c>
      <c r="C35" s="77">
        <v>26145.09</v>
      </c>
      <c r="D35" s="77">
        <v>25859.86</v>
      </c>
      <c r="E35" s="77">
        <v>25849.32</v>
      </c>
      <c r="F35" s="77">
        <v>25773.919999999998</v>
      </c>
      <c r="G35" s="77">
        <v>25930.18</v>
      </c>
      <c r="H35" s="77">
        <v>26215.7</v>
      </c>
      <c r="I35" s="77">
        <v>25885.02</v>
      </c>
      <c r="J35" s="77">
        <v>25777.360000000001</v>
      </c>
      <c r="K35" s="77">
        <v>25957.15</v>
      </c>
      <c r="L35" s="99"/>
      <c r="M35" s="99"/>
      <c r="N35" s="99"/>
      <c r="O35" s="99"/>
      <c r="P35" s="99"/>
      <c r="Q35" s="100"/>
      <c r="R35" s="101"/>
      <c r="T35" s="97">
        <v>9000</v>
      </c>
      <c r="U35" s="77">
        <v>8090</v>
      </c>
      <c r="V35" s="77">
        <v>12070</v>
      </c>
    </row>
    <row r="36" spans="1:23" ht="15.75" thickBot="1">
      <c r="A36" s="108"/>
      <c r="B36" s="22" t="s">
        <v>136</v>
      </c>
      <c r="C36" s="23">
        <f t="shared" ref="C36:K36" si="8">IF(((C34="")*AND(C35="")),"",(C34-C35)*3)</f>
        <v>8854.4100000000035</v>
      </c>
      <c r="D36" s="23">
        <f t="shared" si="8"/>
        <v>9143.9699999999939</v>
      </c>
      <c r="E36" s="23">
        <f t="shared" si="8"/>
        <v>9155.4599999999991</v>
      </c>
      <c r="F36" s="23">
        <f t="shared" si="8"/>
        <v>9380.7900000000009</v>
      </c>
      <c r="G36" s="23">
        <f t="shared" si="8"/>
        <v>9494.3399999999965</v>
      </c>
      <c r="H36" s="23">
        <f t="shared" si="8"/>
        <v>8561.1299999999974</v>
      </c>
      <c r="I36" s="23">
        <f t="shared" si="8"/>
        <v>9010.7099999999991</v>
      </c>
      <c r="J36" s="23">
        <f t="shared" si="8"/>
        <v>9354.6000000000022</v>
      </c>
      <c r="K36" s="23">
        <f t="shared" si="8"/>
        <v>9563.7900000000009</v>
      </c>
      <c r="L36" s="103"/>
      <c r="M36" s="103"/>
      <c r="N36" s="103"/>
      <c r="O36" s="103"/>
      <c r="P36" s="103"/>
      <c r="Q36" s="104"/>
      <c r="R36" s="105"/>
      <c r="T36" s="97">
        <v>9000</v>
      </c>
      <c r="U36" s="77">
        <v>8090</v>
      </c>
      <c r="V36" s="77">
        <v>12070</v>
      </c>
    </row>
    <row r="37" spans="1:23">
      <c r="A37" s="106">
        <v>42779</v>
      </c>
      <c r="B37" s="20" t="s">
        <v>133</v>
      </c>
      <c r="C37" s="77">
        <v>29064.47</v>
      </c>
      <c r="D37" s="77">
        <v>28900.63</v>
      </c>
      <c r="E37" s="77">
        <v>28907.39</v>
      </c>
      <c r="F37" s="77">
        <v>28910.240000000002</v>
      </c>
      <c r="G37" s="77">
        <v>29062.95</v>
      </c>
      <c r="H37" s="77">
        <v>29071.94</v>
      </c>
      <c r="I37" s="77">
        <v>28899.57</v>
      </c>
      <c r="J37" s="77">
        <v>28900.75</v>
      </c>
      <c r="K37" s="77">
        <v>29170.68</v>
      </c>
      <c r="L37" s="94">
        <f>IF((K38=""),"",MAX(C39:K39))</f>
        <v>13906.470000000005</v>
      </c>
      <c r="M37" s="94">
        <f>IF(K38="","",MIN(C39:K39))</f>
        <v>11084.759999999995</v>
      </c>
      <c r="N37" s="94">
        <f>IF((K39=""),"",AVERAGE(C39:K39))</f>
        <v>12445.993333333332</v>
      </c>
      <c r="O37" s="94">
        <f>IF((K38=""),"",STDEV(C39:K39))</f>
        <v>813.15029580949101</v>
      </c>
      <c r="P37" s="94">
        <f>IF((K38=""),"",O37/N37*100)</f>
        <v>6.5334302697373374</v>
      </c>
      <c r="Q37" s="95" t="str">
        <f>IF(K38="","",IF(P37&lt;15,IF(N37&gt;9000,IF(N37&lt;15600,"Pass","Fail"),"Fail"),"Fail"))</f>
        <v>Pass</v>
      </c>
      <c r="R37" s="96">
        <v>1400</v>
      </c>
      <c r="S37" s="77" t="s">
        <v>143</v>
      </c>
      <c r="T37" s="97">
        <v>9000</v>
      </c>
      <c r="U37" s="77">
        <v>8090</v>
      </c>
      <c r="V37" s="77">
        <v>12070</v>
      </c>
      <c r="W37" s="77">
        <v>6</v>
      </c>
    </row>
    <row r="38" spans="1:23">
      <c r="A38" s="107"/>
      <c r="B38" s="21" t="s">
        <v>135</v>
      </c>
      <c r="C38" s="77">
        <v>25209.4</v>
      </c>
      <c r="D38" s="77">
        <v>24818</v>
      </c>
      <c r="E38" s="77">
        <v>24703.05</v>
      </c>
      <c r="F38" s="77">
        <v>24637</v>
      </c>
      <c r="G38" s="77">
        <v>24427.46</v>
      </c>
      <c r="H38" s="77">
        <v>25377.02</v>
      </c>
      <c r="I38" s="77">
        <v>24838.240000000002</v>
      </c>
      <c r="J38" s="77">
        <v>24654.84</v>
      </c>
      <c r="K38" s="77">
        <v>24885.63</v>
      </c>
      <c r="L38" s="99"/>
      <c r="M38" s="99"/>
      <c r="N38" s="99"/>
      <c r="O38" s="99"/>
      <c r="P38" s="99"/>
      <c r="Q38" s="100"/>
      <c r="R38" s="101"/>
      <c r="T38" s="97">
        <v>9000</v>
      </c>
      <c r="U38" s="77">
        <v>8090</v>
      </c>
      <c r="V38" s="77">
        <v>12070</v>
      </c>
    </row>
    <row r="39" spans="1:23" ht="15.75" thickBot="1">
      <c r="A39" s="108"/>
      <c r="B39" s="22" t="s">
        <v>136</v>
      </c>
      <c r="C39" s="23">
        <f t="shared" ref="C39:K39" si="9">IF(((C37="")*AND(C38="")),"",(C37-C38)*3)</f>
        <v>11565.21</v>
      </c>
      <c r="D39" s="23">
        <f t="shared" si="9"/>
        <v>12247.890000000003</v>
      </c>
      <c r="E39" s="23">
        <f t="shared" si="9"/>
        <v>12613.02</v>
      </c>
      <c r="F39" s="23">
        <f t="shared" si="9"/>
        <v>12819.720000000005</v>
      </c>
      <c r="G39" s="23">
        <f t="shared" si="9"/>
        <v>13906.470000000005</v>
      </c>
      <c r="H39" s="23">
        <f t="shared" si="9"/>
        <v>11084.759999999995</v>
      </c>
      <c r="I39" s="23">
        <f t="shared" si="9"/>
        <v>12183.989999999994</v>
      </c>
      <c r="J39" s="23">
        <f t="shared" si="9"/>
        <v>12737.73</v>
      </c>
      <c r="K39" s="23">
        <f t="shared" si="9"/>
        <v>12855.149999999998</v>
      </c>
      <c r="L39" s="103"/>
      <c r="M39" s="103"/>
      <c r="N39" s="103"/>
      <c r="O39" s="103"/>
      <c r="P39" s="103"/>
      <c r="Q39" s="104"/>
      <c r="R39" s="105"/>
      <c r="T39" s="97">
        <v>9000</v>
      </c>
      <c r="U39" s="77">
        <v>8090</v>
      </c>
      <c r="V39" s="77">
        <v>12070</v>
      </c>
    </row>
    <row r="40" spans="1:23">
      <c r="A40" s="106">
        <v>42779</v>
      </c>
      <c r="B40" s="20" t="s">
        <v>133</v>
      </c>
      <c r="C40" s="77">
        <v>28760.73</v>
      </c>
      <c r="D40" s="77">
        <v>28732.15</v>
      </c>
      <c r="E40" s="77">
        <v>28725.61</v>
      </c>
      <c r="F40" s="77">
        <v>28708.58</v>
      </c>
      <c r="G40" s="77">
        <v>28786.09</v>
      </c>
      <c r="H40" s="77">
        <v>28929.84</v>
      </c>
      <c r="I40" s="77">
        <v>28738.45</v>
      </c>
      <c r="J40" s="77">
        <v>28720.48</v>
      </c>
      <c r="K40" s="77">
        <v>28976.36</v>
      </c>
      <c r="L40" s="94">
        <f>IF((K41=""),"",MAX(C42:K42))</f>
        <v>11845.439999999999</v>
      </c>
      <c r="M40" s="94">
        <f>IF(K41="","",MIN(C42:K42))</f>
        <v>10537.950000000004</v>
      </c>
      <c r="N40" s="94">
        <f>IF((K42=""),"",AVERAGE(C42:K42))</f>
        <v>11349.420000000004</v>
      </c>
      <c r="O40" s="94">
        <f>IF((K41=""),"",STDEV(C42:K42))</f>
        <v>407.93175945864436</v>
      </c>
      <c r="P40" s="94">
        <f>IF((K41=""),"",O40/N40*100)</f>
        <v>3.5942960914182773</v>
      </c>
      <c r="Q40" s="95" t="str">
        <f>IF(K41="","",IF(P40&lt;15,IF(N40&gt;9000,IF(N40&lt;15600,"Pass","Fail"),"Fail"),"Fail"))</f>
        <v>Pass</v>
      </c>
      <c r="R40" s="96"/>
      <c r="S40" s="77" t="s">
        <v>144</v>
      </c>
      <c r="T40" s="97">
        <v>9000</v>
      </c>
      <c r="U40" s="77">
        <v>8090</v>
      </c>
      <c r="V40" s="77">
        <v>12070</v>
      </c>
      <c r="W40" s="77">
        <v>6</v>
      </c>
    </row>
    <row r="41" spans="1:23">
      <c r="A41" s="107"/>
      <c r="B41" s="21" t="s">
        <v>135</v>
      </c>
      <c r="C41" s="77">
        <v>24902.17</v>
      </c>
      <c r="D41" s="77">
        <v>25018.76</v>
      </c>
      <c r="E41" s="77">
        <v>24990.880000000001</v>
      </c>
      <c r="F41" s="77">
        <v>24774.73</v>
      </c>
      <c r="G41" s="77">
        <v>24990</v>
      </c>
      <c r="H41" s="77">
        <v>25417.19</v>
      </c>
      <c r="I41" s="77">
        <v>25039.07</v>
      </c>
      <c r="J41" s="77">
        <v>24869.35</v>
      </c>
      <c r="K41" s="77">
        <v>25027.88</v>
      </c>
      <c r="L41" s="99"/>
      <c r="M41" s="99"/>
      <c r="N41" s="99"/>
      <c r="O41" s="99"/>
      <c r="P41" s="99"/>
      <c r="Q41" s="100"/>
      <c r="R41" s="101"/>
      <c r="T41" s="97">
        <v>9000</v>
      </c>
      <c r="U41" s="77">
        <v>8090</v>
      </c>
      <c r="V41" s="77">
        <v>12070</v>
      </c>
    </row>
    <row r="42" spans="1:23" ht="15.75" thickBot="1">
      <c r="A42" s="108"/>
      <c r="B42" s="22" t="s">
        <v>136</v>
      </c>
      <c r="C42" s="23">
        <f t="shared" ref="C42:K42" si="10">IF(((C40="")*AND(C41="")),"",(C40-C41)*3)</f>
        <v>11575.680000000004</v>
      </c>
      <c r="D42" s="23">
        <f t="shared" si="10"/>
        <v>11140.170000000009</v>
      </c>
      <c r="E42" s="23">
        <f t="shared" si="10"/>
        <v>11204.189999999999</v>
      </c>
      <c r="F42" s="23">
        <f t="shared" si="10"/>
        <v>11801.550000000007</v>
      </c>
      <c r="G42" s="23">
        <f t="shared" si="10"/>
        <v>11388.27</v>
      </c>
      <c r="H42" s="23">
        <f t="shared" si="10"/>
        <v>10537.950000000004</v>
      </c>
      <c r="I42" s="23">
        <f t="shared" si="10"/>
        <v>11098.140000000003</v>
      </c>
      <c r="J42" s="23">
        <f t="shared" si="10"/>
        <v>11553.390000000003</v>
      </c>
      <c r="K42" s="23">
        <f t="shared" si="10"/>
        <v>11845.439999999999</v>
      </c>
      <c r="L42" s="103"/>
      <c r="M42" s="103"/>
      <c r="N42" s="103"/>
      <c r="O42" s="103"/>
      <c r="P42" s="103"/>
      <c r="Q42" s="104"/>
      <c r="R42" s="105"/>
      <c r="T42" s="97">
        <v>9000</v>
      </c>
      <c r="U42" s="77">
        <v>8090</v>
      </c>
      <c r="V42" s="77">
        <v>12070</v>
      </c>
    </row>
    <row r="43" spans="1:23">
      <c r="A43" s="106">
        <v>42781</v>
      </c>
      <c r="B43" s="20" t="s">
        <v>133</v>
      </c>
      <c r="C43" s="77">
        <v>28896.43</v>
      </c>
      <c r="D43" s="77">
        <v>28740.880000000001</v>
      </c>
      <c r="E43" s="77">
        <v>28763.86</v>
      </c>
      <c r="F43" s="77">
        <v>28733.53</v>
      </c>
      <c r="G43" s="77">
        <v>28963.759999999998</v>
      </c>
      <c r="H43" s="77">
        <v>28848.48</v>
      </c>
      <c r="I43" s="77">
        <v>28724.44</v>
      </c>
      <c r="J43" s="77">
        <v>28736.32</v>
      </c>
      <c r="K43" s="77">
        <v>28942.98</v>
      </c>
      <c r="L43" s="94">
        <f>IF((K44=""),"",MAX(C45:K45))</f>
        <v>12276.060000000001</v>
      </c>
      <c r="M43" s="94">
        <f>IF(K44="","",MIN(C45:K45))</f>
        <v>9636.9300000000039</v>
      </c>
      <c r="N43" s="94">
        <f>IF((K45=""),"",AVERAGE(C45:K45))</f>
        <v>10433.536666666665</v>
      </c>
      <c r="O43" s="94">
        <f>IF((K44=""),"",STDEV(C45:K45))</f>
        <v>746.59904286038204</v>
      </c>
      <c r="P43" s="94">
        <f>IF((K44=""),"",O43/N43*100)</f>
        <v>7.1557619119280629</v>
      </c>
      <c r="Q43" s="95" t="str">
        <f>IF(K44="","",IF(P43&lt;15,IF(N43&gt;9000,IF(N43&lt;15600,"Pass","Fail"),"Fail"),"Fail"))</f>
        <v>Pass</v>
      </c>
      <c r="R43" s="96">
        <v>1400</v>
      </c>
      <c r="T43" s="97">
        <v>9000</v>
      </c>
      <c r="U43" s="77">
        <v>8090</v>
      </c>
      <c r="V43" s="77">
        <v>12070</v>
      </c>
      <c r="W43" s="77">
        <v>6</v>
      </c>
    </row>
    <row r="44" spans="1:23">
      <c r="A44" s="107"/>
      <c r="B44" s="21" t="s">
        <v>135</v>
      </c>
      <c r="C44" s="77">
        <v>25600.6</v>
      </c>
      <c r="D44" s="77">
        <v>25316.26</v>
      </c>
      <c r="E44" s="77">
        <v>25263.22</v>
      </c>
      <c r="F44" s="77">
        <v>25258.68</v>
      </c>
      <c r="G44" s="77">
        <v>25534.41</v>
      </c>
      <c r="H44" s="77">
        <v>25636.17</v>
      </c>
      <c r="I44" s="77">
        <v>25340.55</v>
      </c>
      <c r="J44" s="77">
        <v>25249.22</v>
      </c>
      <c r="K44" s="77">
        <v>24850.959999999999</v>
      </c>
      <c r="L44" s="99"/>
      <c r="M44" s="99"/>
      <c r="N44" s="99"/>
      <c r="O44" s="99"/>
      <c r="P44" s="99"/>
      <c r="Q44" s="100"/>
      <c r="R44" s="101"/>
      <c r="T44" s="97">
        <v>9000</v>
      </c>
      <c r="U44" s="77">
        <v>8090</v>
      </c>
      <c r="V44" s="77">
        <v>12070</v>
      </c>
    </row>
    <row r="45" spans="1:23" ht="15.75" thickBot="1">
      <c r="A45" s="108"/>
      <c r="B45" s="22" t="s">
        <v>136</v>
      </c>
      <c r="C45" s="23">
        <f t="shared" ref="C45:K45" si="11">IF(((C43="")*AND(C44="")),"",(C43-C44)*3)</f>
        <v>9887.4900000000052</v>
      </c>
      <c r="D45" s="23">
        <f t="shared" si="11"/>
        <v>10273.860000000008</v>
      </c>
      <c r="E45" s="23">
        <f t="shared" si="11"/>
        <v>10501.919999999998</v>
      </c>
      <c r="F45" s="23">
        <f t="shared" si="11"/>
        <v>10424.549999999996</v>
      </c>
      <c r="G45" s="23">
        <f t="shared" si="11"/>
        <v>10288.049999999996</v>
      </c>
      <c r="H45" s="23">
        <f t="shared" si="11"/>
        <v>9636.9300000000039</v>
      </c>
      <c r="I45" s="23">
        <f t="shared" si="11"/>
        <v>10151.669999999998</v>
      </c>
      <c r="J45" s="23">
        <f t="shared" si="11"/>
        <v>10461.299999999996</v>
      </c>
      <c r="K45" s="23">
        <f t="shared" si="11"/>
        <v>12276.060000000001</v>
      </c>
      <c r="L45" s="103"/>
      <c r="M45" s="103"/>
      <c r="N45" s="103"/>
      <c r="O45" s="103"/>
      <c r="P45" s="103"/>
      <c r="Q45" s="104"/>
      <c r="R45" s="105"/>
      <c r="T45" s="97">
        <v>9000</v>
      </c>
      <c r="U45" s="77">
        <v>8090</v>
      </c>
      <c r="V45" s="77">
        <v>12070</v>
      </c>
    </row>
    <row r="46" spans="1:23">
      <c r="A46" s="106">
        <v>42783</v>
      </c>
      <c r="B46" s="20" t="s">
        <v>133</v>
      </c>
      <c r="C46" s="77">
        <v>28924.11</v>
      </c>
      <c r="D46" s="77">
        <v>28760.6</v>
      </c>
      <c r="E46" s="77">
        <v>28747.59</v>
      </c>
      <c r="F46" s="77">
        <v>28751.79</v>
      </c>
      <c r="G46" s="77">
        <v>28965.52</v>
      </c>
      <c r="H46" s="77">
        <v>28903.1</v>
      </c>
      <c r="I46" s="77">
        <v>28734.47</v>
      </c>
      <c r="J46" s="77">
        <v>28762.13</v>
      </c>
      <c r="K46" s="77">
        <v>28996.61</v>
      </c>
      <c r="L46" s="94">
        <f>IF((K47=""),"",MAX(C48:K48))</f>
        <v>9712.02</v>
      </c>
      <c r="M46" s="94">
        <f>IF(K47="","",MIN(C48:K48))</f>
        <v>8800.9199999999983</v>
      </c>
      <c r="N46" s="94">
        <f>IF((K48=""),"",AVERAGE(C48:K48))</f>
        <v>9218.0800000000017</v>
      </c>
      <c r="O46" s="94">
        <f>IF((K47=""),"",STDEV(C48:K48))</f>
        <v>285.47091331690558</v>
      </c>
      <c r="P46" s="94">
        <f>IF((K47=""),"",O46/N46*100)</f>
        <v>3.0968587093722939</v>
      </c>
      <c r="Q46" s="95" t="str">
        <f>IF(K47="","",IF(P46&lt;15,IF(N46&gt;9000,IF(N46&lt;15600,"Pass","Fail"),"Fail"),"Fail"))</f>
        <v>Pass</v>
      </c>
      <c r="R46" s="96">
        <v>1335</v>
      </c>
      <c r="S46" s="77" t="s">
        <v>145</v>
      </c>
      <c r="T46" s="97">
        <v>9000</v>
      </c>
      <c r="U46" s="77">
        <v>8090</v>
      </c>
      <c r="V46" s="77">
        <v>12070</v>
      </c>
      <c r="W46" s="77">
        <v>6</v>
      </c>
    </row>
    <row r="47" spans="1:23">
      <c r="A47" s="107"/>
      <c r="B47" s="21" t="s">
        <v>135</v>
      </c>
      <c r="C47" s="77">
        <v>25970.48</v>
      </c>
      <c r="D47" s="77">
        <v>25703.360000000001</v>
      </c>
      <c r="E47" s="77">
        <v>25708.12</v>
      </c>
      <c r="F47" s="77">
        <v>25629.42</v>
      </c>
      <c r="G47" s="77">
        <v>25838.5</v>
      </c>
      <c r="H47" s="77">
        <v>25969.46</v>
      </c>
      <c r="I47" s="77">
        <v>25689.23</v>
      </c>
      <c r="J47" s="77">
        <v>25623.84</v>
      </c>
      <c r="K47" s="77">
        <v>25759.27</v>
      </c>
      <c r="L47" s="99"/>
      <c r="M47" s="99"/>
      <c r="N47" s="99"/>
      <c r="O47" s="99"/>
      <c r="P47" s="99"/>
      <c r="Q47" s="100"/>
      <c r="R47" s="101"/>
      <c r="S47" s="77" t="s">
        <v>146</v>
      </c>
      <c r="T47" s="97">
        <v>9000</v>
      </c>
      <c r="U47" s="77">
        <v>8090</v>
      </c>
      <c r="V47" s="77">
        <v>12070</v>
      </c>
    </row>
    <row r="48" spans="1:23" ht="15.75" thickBot="1">
      <c r="A48" s="108"/>
      <c r="B48" s="22" t="s">
        <v>136</v>
      </c>
      <c r="C48" s="23">
        <f t="shared" ref="C48:K48" si="12">IF(((C46="")*AND(C47="")),"",(C46-C47)*3)</f>
        <v>8860.8900000000031</v>
      </c>
      <c r="D48" s="23">
        <f t="shared" si="12"/>
        <v>9171.7199999999939</v>
      </c>
      <c r="E48" s="23">
        <f t="shared" si="12"/>
        <v>9118.4100000000035</v>
      </c>
      <c r="F48" s="23">
        <f t="shared" si="12"/>
        <v>9367.1100000000079</v>
      </c>
      <c r="G48" s="23">
        <f t="shared" si="12"/>
        <v>9381.0600000000013</v>
      </c>
      <c r="H48" s="23">
        <f t="shared" si="12"/>
        <v>8800.9199999999983</v>
      </c>
      <c r="I48" s="23">
        <f t="shared" si="12"/>
        <v>9135.7200000000048</v>
      </c>
      <c r="J48" s="23">
        <f t="shared" si="12"/>
        <v>9414.8700000000026</v>
      </c>
      <c r="K48" s="23">
        <f t="shared" si="12"/>
        <v>9712.02</v>
      </c>
      <c r="L48" s="103"/>
      <c r="M48" s="103"/>
      <c r="N48" s="103"/>
      <c r="O48" s="103"/>
      <c r="P48" s="103"/>
      <c r="Q48" s="104"/>
      <c r="R48" s="105"/>
      <c r="T48" s="97">
        <v>9000</v>
      </c>
      <c r="U48" s="77">
        <v>8090</v>
      </c>
      <c r="V48" s="77">
        <v>12070</v>
      </c>
    </row>
    <row r="49" spans="1:23">
      <c r="A49" s="106"/>
      <c r="B49" s="20" t="s">
        <v>133</v>
      </c>
      <c r="C49" s="77">
        <v>29331.14</v>
      </c>
      <c r="D49" s="77">
        <v>29201.58</v>
      </c>
      <c r="E49" s="77">
        <v>29270.26</v>
      </c>
      <c r="F49" s="77">
        <v>29206.95</v>
      </c>
      <c r="G49" s="77">
        <v>29445.13</v>
      </c>
      <c r="H49" s="77">
        <v>29361.9</v>
      </c>
      <c r="I49" s="77">
        <v>29207.16</v>
      </c>
      <c r="J49" s="77">
        <v>29194.45</v>
      </c>
      <c r="K49" s="77">
        <v>29451.98</v>
      </c>
      <c r="L49" s="94">
        <f>IF((K50=""),"",MAX(C51:K51))</f>
        <v>12070.29</v>
      </c>
      <c r="M49" s="94">
        <f>IF(K50="","",MIN(C51:K51))</f>
        <v>11189.430000000004</v>
      </c>
      <c r="N49" s="94">
        <f>IF((K51=""),"",AVERAGE(C51:K51))</f>
        <v>11647.606666666668</v>
      </c>
      <c r="O49" s="94">
        <f>IF((K50=""),"",STDEV(C51:K51))</f>
        <v>262.19950748428442</v>
      </c>
      <c r="P49" s="94">
        <f>IF((K50=""),"",O49/N49*100)</f>
        <v>2.251102007373341</v>
      </c>
      <c r="Q49" s="95" t="str">
        <f>IF(K50="","",IF(P49&lt;15,IF(N49&gt;9000,IF(N49&lt;15600,"Pass","Fail"),"Fail"),"Fail"))</f>
        <v>Pass</v>
      </c>
      <c r="R49" s="96">
        <v>1400</v>
      </c>
      <c r="S49" s="77" t="s">
        <v>147</v>
      </c>
      <c r="T49" s="97">
        <v>9000</v>
      </c>
      <c r="U49" s="77">
        <v>8090</v>
      </c>
      <c r="V49" s="77">
        <v>12070</v>
      </c>
    </row>
    <row r="50" spans="1:23">
      <c r="A50" s="107"/>
      <c r="B50" s="21" t="s">
        <v>135</v>
      </c>
      <c r="C50" s="77">
        <v>25553.72</v>
      </c>
      <c r="D50" s="77">
        <v>25318.59</v>
      </c>
      <c r="E50" s="77">
        <v>25371.17</v>
      </c>
      <c r="F50" s="77">
        <v>25268.9</v>
      </c>
      <c r="G50" s="77">
        <v>25570.35</v>
      </c>
      <c r="H50" s="77">
        <v>25632.09</v>
      </c>
      <c r="I50" s="77">
        <v>25330.99</v>
      </c>
      <c r="J50" s="77">
        <v>25253.37</v>
      </c>
      <c r="K50" s="77">
        <v>25428.55</v>
      </c>
      <c r="L50" s="99"/>
      <c r="M50" s="99"/>
      <c r="N50" s="99"/>
      <c r="O50" s="99"/>
      <c r="P50" s="99"/>
      <c r="Q50" s="100"/>
      <c r="R50" s="101"/>
      <c r="T50" s="97">
        <v>9000</v>
      </c>
      <c r="U50" s="77">
        <v>8090</v>
      </c>
      <c r="V50" s="77">
        <v>12070</v>
      </c>
    </row>
    <row r="51" spans="1:23" ht="15.75" thickBot="1">
      <c r="A51" s="108"/>
      <c r="B51" s="22" t="s">
        <v>136</v>
      </c>
      <c r="C51" s="23">
        <f t="shared" ref="C51:K51" si="13">IF(((C49="")*AND(C50="")),"",(C49-C50)*3)</f>
        <v>11332.259999999995</v>
      </c>
      <c r="D51" s="23">
        <f t="shared" si="13"/>
        <v>11648.970000000005</v>
      </c>
      <c r="E51" s="23">
        <f t="shared" si="13"/>
        <v>11697.27</v>
      </c>
      <c r="F51" s="23">
        <f t="shared" si="13"/>
        <v>11814.149999999998</v>
      </c>
      <c r="G51" s="23">
        <f t="shared" si="13"/>
        <v>11624.340000000007</v>
      </c>
      <c r="H51" s="23">
        <f t="shared" si="13"/>
        <v>11189.430000000004</v>
      </c>
      <c r="I51" s="23">
        <f t="shared" si="13"/>
        <v>11628.509999999995</v>
      </c>
      <c r="J51" s="23">
        <f t="shared" si="13"/>
        <v>11823.240000000005</v>
      </c>
      <c r="K51" s="23">
        <f t="shared" si="13"/>
        <v>12070.29</v>
      </c>
      <c r="L51" s="103"/>
      <c r="M51" s="103"/>
      <c r="N51" s="103"/>
      <c r="O51" s="103"/>
      <c r="P51" s="103"/>
      <c r="Q51" s="104"/>
      <c r="R51" s="105"/>
      <c r="T51" s="97">
        <v>9000</v>
      </c>
      <c r="U51" s="77">
        <v>8090</v>
      </c>
      <c r="V51" s="77">
        <v>12070</v>
      </c>
    </row>
    <row r="52" spans="1:23">
      <c r="A52" s="106">
        <v>42793</v>
      </c>
      <c r="B52" s="20" t="s">
        <v>133</v>
      </c>
      <c r="C52" s="77">
        <v>29285.1</v>
      </c>
      <c r="D52" s="77">
        <v>29132.21</v>
      </c>
      <c r="E52" s="77">
        <v>29121.85</v>
      </c>
      <c r="F52" s="77">
        <v>29137.64</v>
      </c>
      <c r="G52" s="77">
        <v>29371.39</v>
      </c>
      <c r="H52" s="77">
        <v>29290.45</v>
      </c>
      <c r="I52" s="77">
        <v>29127.55</v>
      </c>
      <c r="J52" s="77">
        <v>29147.09</v>
      </c>
      <c r="K52" s="77">
        <v>29377.63</v>
      </c>
      <c r="L52" s="94">
        <f>IF((K53=""),"",MAX(C54:K54))</f>
        <v>11972.04</v>
      </c>
      <c r="M52" s="94">
        <f>IF(K53="","",MIN(C54:K54))</f>
        <v>11019.419999999998</v>
      </c>
      <c r="N52" s="94">
        <f>IF((K54=""),"",AVERAGE(C54:K54))</f>
        <v>11540.006666666663</v>
      </c>
      <c r="O52" s="94">
        <f>IF((K53=""),"",STDEV(C54:K54))</f>
        <v>299.32130821249001</v>
      </c>
      <c r="P52" s="94">
        <f>IF((K53=""),"",O52/N52*100)</f>
        <v>2.5937706697958878</v>
      </c>
      <c r="Q52" s="95" t="str">
        <f>IF(K53="","",IF(P52&lt;15,IF(N52&gt;9000,IF(N52&lt;15600,"Pass","Fail"),"Fail"),"Fail"))</f>
        <v>Pass</v>
      </c>
      <c r="R52" s="96">
        <v>1400</v>
      </c>
      <c r="S52" s="77" t="s">
        <v>148</v>
      </c>
      <c r="T52" s="97">
        <v>9000</v>
      </c>
      <c r="U52" s="77">
        <v>8090</v>
      </c>
      <c r="V52" s="77">
        <v>12070</v>
      </c>
      <c r="W52" s="77">
        <v>6</v>
      </c>
    </row>
    <row r="53" spans="1:23">
      <c r="A53" s="107"/>
      <c r="B53" s="21" t="s">
        <v>135</v>
      </c>
      <c r="C53" s="77">
        <v>25575.56</v>
      </c>
      <c r="D53" s="77">
        <v>25285.279999999999</v>
      </c>
      <c r="E53" s="77">
        <v>25244.57</v>
      </c>
      <c r="F53" s="77">
        <v>25231.94</v>
      </c>
      <c r="G53" s="77">
        <v>25518.36</v>
      </c>
      <c r="H53" s="77">
        <v>25617.31</v>
      </c>
      <c r="I53" s="77">
        <v>25284.7</v>
      </c>
      <c r="J53" s="77">
        <v>25226.22</v>
      </c>
      <c r="K53" s="77">
        <v>25386.95</v>
      </c>
      <c r="L53" s="99"/>
      <c r="M53" s="99"/>
      <c r="N53" s="99"/>
      <c r="O53" s="99"/>
      <c r="P53" s="99"/>
      <c r="Q53" s="100"/>
      <c r="R53" s="101"/>
      <c r="T53" s="97">
        <v>9000</v>
      </c>
      <c r="U53" s="77">
        <v>8090</v>
      </c>
      <c r="V53" s="77">
        <v>12070</v>
      </c>
    </row>
    <row r="54" spans="1:23" ht="15.75" thickBot="1">
      <c r="A54" s="108"/>
      <c r="B54" s="22" t="s">
        <v>136</v>
      </c>
      <c r="C54" s="23">
        <f t="shared" ref="C54:K54" si="14">IF(((C52="")*AND(C53="")),"",(C52-C53)*3)</f>
        <v>11128.619999999992</v>
      </c>
      <c r="D54" s="23">
        <f t="shared" si="14"/>
        <v>11540.79</v>
      </c>
      <c r="E54" s="23">
        <f t="shared" si="14"/>
        <v>11631.839999999997</v>
      </c>
      <c r="F54" s="23">
        <f t="shared" si="14"/>
        <v>11717.100000000002</v>
      </c>
      <c r="G54" s="23">
        <f t="shared" si="14"/>
        <v>11559.089999999997</v>
      </c>
      <c r="H54" s="23">
        <f t="shared" si="14"/>
        <v>11019.419999999998</v>
      </c>
      <c r="I54" s="23">
        <f t="shared" si="14"/>
        <v>11528.549999999996</v>
      </c>
      <c r="J54" s="23">
        <f t="shared" si="14"/>
        <v>11762.609999999997</v>
      </c>
      <c r="K54" s="23">
        <f t="shared" si="14"/>
        <v>11972.04</v>
      </c>
      <c r="L54" s="103"/>
      <c r="M54" s="103"/>
      <c r="N54" s="103"/>
      <c r="O54" s="103"/>
      <c r="P54" s="103"/>
      <c r="Q54" s="104"/>
      <c r="R54" s="105"/>
      <c r="T54" s="97">
        <v>9000</v>
      </c>
      <c r="U54" s="77">
        <v>8090</v>
      </c>
      <c r="V54" s="77">
        <v>12070</v>
      </c>
    </row>
    <row r="55" spans="1:23">
      <c r="A55" s="106">
        <v>42800</v>
      </c>
      <c r="B55" s="20" t="s">
        <v>133</v>
      </c>
      <c r="C55" s="77">
        <v>29248.17</v>
      </c>
      <c r="D55" s="77">
        <v>29070.959999999999</v>
      </c>
      <c r="E55" s="77">
        <v>29068.07</v>
      </c>
      <c r="F55" s="77">
        <v>29093.22</v>
      </c>
      <c r="G55" s="77">
        <v>29298.87</v>
      </c>
      <c r="H55" s="77">
        <v>29252.37</v>
      </c>
      <c r="I55" s="77">
        <v>29080.47</v>
      </c>
      <c r="J55" s="77">
        <v>29063.18</v>
      </c>
      <c r="K55" s="77">
        <v>29307.38</v>
      </c>
      <c r="L55" s="94">
        <f>IF((K56=""),"",MAX(C57:K57))</f>
        <v>9865.4700000000048</v>
      </c>
      <c r="M55" s="94">
        <f>IF(K56="","",MIN(C57:K57))</f>
        <v>9190.8599999999969</v>
      </c>
      <c r="N55" s="94">
        <f>IF((K57=""),"",AVERAGE(C57:K57))</f>
        <v>9611.9699999999993</v>
      </c>
      <c r="O55" s="94">
        <f>IF((K56=""),"",STDEV(C57:K57))</f>
        <v>230.15993108061977</v>
      </c>
      <c r="P55" s="94">
        <f>IF((K56=""),"",O55/N55*100)</f>
        <v>2.3945136229162158</v>
      </c>
      <c r="Q55" s="95" t="str">
        <f>IF(K56="","",IF(P55&lt;15,IF(N55&gt;9000,IF(N55&lt;15600,"Pass","Fail"),"Fail"),"Fail"))</f>
        <v>Pass</v>
      </c>
      <c r="R55" s="96">
        <v>1400</v>
      </c>
      <c r="S55" s="77" t="s">
        <v>149</v>
      </c>
      <c r="T55" s="97">
        <v>9000</v>
      </c>
      <c r="U55" s="77">
        <v>8090</v>
      </c>
      <c r="V55" s="77">
        <v>12070</v>
      </c>
      <c r="W55" s="77">
        <v>6</v>
      </c>
    </row>
    <row r="56" spans="1:23">
      <c r="A56" s="107"/>
      <c r="B56" s="21" t="s">
        <v>135</v>
      </c>
      <c r="C56" s="77">
        <v>26184.55</v>
      </c>
      <c r="D56" s="77">
        <v>25887.78</v>
      </c>
      <c r="E56" s="77">
        <v>25870.95</v>
      </c>
      <c r="F56" s="77">
        <v>25823.51</v>
      </c>
      <c r="G56" s="77">
        <v>26032.97</v>
      </c>
      <c r="H56" s="77">
        <v>26147.87</v>
      </c>
      <c r="I56" s="77">
        <v>25858.21</v>
      </c>
      <c r="J56" s="77">
        <v>25822.05</v>
      </c>
      <c r="K56" s="77">
        <v>26018.89</v>
      </c>
      <c r="L56" s="99"/>
      <c r="M56" s="99"/>
      <c r="N56" s="99"/>
      <c r="O56" s="99"/>
      <c r="P56" s="99"/>
      <c r="Q56" s="100"/>
      <c r="R56" s="101"/>
      <c r="T56" s="97">
        <v>9000</v>
      </c>
      <c r="U56" s="77">
        <v>8090</v>
      </c>
      <c r="V56" s="77">
        <v>12070</v>
      </c>
    </row>
    <row r="57" spans="1:23" ht="15.75" thickBot="1">
      <c r="A57" s="108"/>
      <c r="B57" s="22" t="s">
        <v>136</v>
      </c>
      <c r="C57" s="23">
        <f t="shared" ref="C57:K57" si="15">IF(((C55="")*AND(C56="")),"",(C55-C56)*3)</f>
        <v>9190.8599999999969</v>
      </c>
      <c r="D57" s="23">
        <f t="shared" si="15"/>
        <v>9549.5400000000009</v>
      </c>
      <c r="E57" s="23">
        <f t="shared" si="15"/>
        <v>9591.3599999999969</v>
      </c>
      <c r="F57" s="23">
        <f t="shared" si="15"/>
        <v>9809.1300000000083</v>
      </c>
      <c r="G57" s="23">
        <f t="shared" si="15"/>
        <v>9797.6999999999935</v>
      </c>
      <c r="H57" s="23">
        <f t="shared" si="15"/>
        <v>9313.5</v>
      </c>
      <c r="I57" s="23">
        <f t="shared" si="15"/>
        <v>9666.7800000000061</v>
      </c>
      <c r="J57" s="23">
        <f t="shared" si="15"/>
        <v>9723.3900000000031</v>
      </c>
      <c r="K57" s="23">
        <f t="shared" si="15"/>
        <v>9865.4700000000048</v>
      </c>
      <c r="L57" s="103"/>
      <c r="M57" s="103"/>
      <c r="N57" s="103"/>
      <c r="O57" s="103"/>
      <c r="P57" s="103"/>
      <c r="Q57" s="104"/>
      <c r="R57" s="105"/>
      <c r="T57" s="97">
        <v>9000</v>
      </c>
      <c r="U57" s="77">
        <v>8090</v>
      </c>
      <c r="V57" s="77">
        <v>12070</v>
      </c>
    </row>
    <row r="58" spans="1:23">
      <c r="A58" s="106">
        <v>42804</v>
      </c>
      <c r="B58" s="20" t="s">
        <v>133</v>
      </c>
      <c r="C58" s="77">
        <v>29242.62</v>
      </c>
      <c r="D58" s="77">
        <v>29032.74</v>
      </c>
      <c r="E58" s="77">
        <v>28918.38</v>
      </c>
      <c r="F58" s="77">
        <v>29039.69</v>
      </c>
      <c r="G58" s="77">
        <v>29223.99</v>
      </c>
      <c r="H58" s="77">
        <v>29238.21</v>
      </c>
      <c r="I58" s="77">
        <v>29056.69</v>
      </c>
      <c r="J58" s="77">
        <v>29032.36</v>
      </c>
      <c r="K58" s="77">
        <v>29207.03</v>
      </c>
      <c r="L58" s="94">
        <f>IF((K59=""),"",MAX(C60:K60))</f>
        <v>10984.29</v>
      </c>
      <c r="M58" s="94">
        <f>IF(K59="","",MIN(C60:K60))</f>
        <v>10132.140000000003</v>
      </c>
      <c r="N58" s="94">
        <f>IF((K60=""),"",AVERAGE(C60:K60))</f>
        <v>10589.263333333336</v>
      </c>
      <c r="O58" s="94">
        <f>IF((K59=""),"",STDEV(C60:K60))</f>
        <v>315.22156711583887</v>
      </c>
      <c r="P58" s="94">
        <f>IF((K59=""),"",O58/N58*100)</f>
        <v>2.9768035527416807</v>
      </c>
      <c r="Q58" s="95" t="str">
        <f>IF(K59="","",IF(P58&lt;15,IF(N58&gt;9000,IF(N58&lt;15600,"Pass","Fail"),"Fail"),"Fail"))</f>
        <v>Pass</v>
      </c>
      <c r="R58" s="96">
        <v>1400</v>
      </c>
      <c r="S58" s="77" t="s">
        <v>150</v>
      </c>
      <c r="T58" s="97">
        <v>9000</v>
      </c>
      <c r="U58" s="77">
        <v>8090</v>
      </c>
      <c r="V58" s="77">
        <v>12070</v>
      </c>
      <c r="W58" s="77">
        <v>6</v>
      </c>
    </row>
    <row r="59" spans="1:23">
      <c r="A59" s="107"/>
      <c r="B59" s="21" t="s">
        <v>135</v>
      </c>
      <c r="C59" s="77">
        <v>25811.26</v>
      </c>
      <c r="D59" s="77">
        <v>25530.76</v>
      </c>
      <c r="E59" s="77">
        <v>25541</v>
      </c>
      <c r="F59" s="77">
        <v>25423.19</v>
      </c>
      <c r="G59" s="77">
        <v>25633.94</v>
      </c>
      <c r="H59" s="77">
        <v>25837.21</v>
      </c>
      <c r="I59" s="77">
        <v>25488.240000000002</v>
      </c>
      <c r="J59" s="77">
        <v>25412.720000000001</v>
      </c>
      <c r="K59" s="77">
        <v>25545.599999999999</v>
      </c>
      <c r="L59" s="99"/>
      <c r="M59" s="99"/>
      <c r="N59" s="99"/>
      <c r="O59" s="99"/>
      <c r="P59" s="99"/>
      <c r="Q59" s="100"/>
      <c r="R59" s="101"/>
      <c r="T59" s="97">
        <v>9000</v>
      </c>
      <c r="U59" s="77">
        <v>8090</v>
      </c>
      <c r="V59" s="77">
        <v>12070</v>
      </c>
    </row>
    <row r="60" spans="1:23" ht="15.75" thickBot="1">
      <c r="A60" s="108"/>
      <c r="B60" s="22" t="s">
        <v>136</v>
      </c>
      <c r="C60" s="23">
        <f t="shared" ref="C60:K60" si="16">IF(((C58="")*AND(C59="")),"",(C58-C59)*3)</f>
        <v>10294.080000000002</v>
      </c>
      <c r="D60" s="23">
        <f t="shared" si="16"/>
        <v>10505.94000000001</v>
      </c>
      <c r="E60" s="23">
        <f t="shared" si="16"/>
        <v>10132.140000000003</v>
      </c>
      <c r="F60" s="23">
        <f t="shared" si="16"/>
        <v>10849.5</v>
      </c>
      <c r="G60" s="23">
        <f t="shared" si="16"/>
        <v>10770.150000000009</v>
      </c>
      <c r="H60" s="23">
        <f t="shared" si="16"/>
        <v>10203</v>
      </c>
      <c r="I60" s="23">
        <f t="shared" si="16"/>
        <v>10705.349999999991</v>
      </c>
      <c r="J60" s="23">
        <f t="shared" si="16"/>
        <v>10858.919999999998</v>
      </c>
      <c r="K60" s="23">
        <f t="shared" si="16"/>
        <v>10984.29</v>
      </c>
      <c r="L60" s="103"/>
      <c r="M60" s="103"/>
      <c r="N60" s="103"/>
      <c r="O60" s="103"/>
      <c r="P60" s="103"/>
      <c r="Q60" s="104"/>
      <c r="R60" s="105"/>
      <c r="T60" s="97">
        <v>9000</v>
      </c>
      <c r="U60" s="77">
        <v>8090</v>
      </c>
      <c r="V60" s="77">
        <v>12070</v>
      </c>
    </row>
    <row r="61" spans="1:23">
      <c r="A61" s="106">
        <v>42814</v>
      </c>
      <c r="B61" s="20" t="s">
        <v>133</v>
      </c>
      <c r="C61" s="77">
        <v>29105.15</v>
      </c>
      <c r="D61" s="77">
        <v>28931.84</v>
      </c>
      <c r="E61" s="77">
        <v>28942.04</v>
      </c>
      <c r="F61" s="77">
        <v>28945.97</v>
      </c>
      <c r="G61" s="77">
        <v>29165.45</v>
      </c>
      <c r="H61" s="77">
        <v>29120.37</v>
      </c>
      <c r="I61" s="77">
        <v>28942.560000000001</v>
      </c>
      <c r="J61" s="77">
        <v>28935.86</v>
      </c>
      <c r="K61" s="77">
        <v>29160.74</v>
      </c>
      <c r="L61" s="94">
        <f>IF((K62=""),"",MAX(C63:K63))</f>
        <v>11036.070000000007</v>
      </c>
      <c r="M61" s="94">
        <f>IF(K62="","",MIN(C63:K63))</f>
        <v>10183.649999999998</v>
      </c>
      <c r="N61" s="94">
        <f>IF((K63=""),"",AVERAGE(C63:K63))</f>
        <v>10628.203333333335</v>
      </c>
      <c r="O61" s="94">
        <f>IF((K62=""),"",STDEV(C63:K63))</f>
        <v>281.51347183570846</v>
      </c>
      <c r="P61" s="94">
        <f>IF((K62=""),"",O61/N61*100)</f>
        <v>2.6487399893149868</v>
      </c>
      <c r="Q61" s="95" t="str">
        <f>IF(K62="","",IF(P61&lt;15,IF(N61&gt;9000,IF(N61&lt;15600,"Pass","Fail"),"Fail"),"Fail"))</f>
        <v>Pass</v>
      </c>
      <c r="R61" s="96">
        <v>1428</v>
      </c>
      <c r="S61" s="77" t="s">
        <v>151</v>
      </c>
      <c r="T61" s="97">
        <v>9000</v>
      </c>
      <c r="U61" s="77">
        <v>8090</v>
      </c>
      <c r="V61" s="77">
        <v>12070</v>
      </c>
      <c r="W61" s="77">
        <v>6</v>
      </c>
    </row>
    <row r="62" spans="1:23">
      <c r="A62" s="107"/>
      <c r="B62" s="21" t="s">
        <v>135</v>
      </c>
      <c r="C62" s="77">
        <v>25706.65</v>
      </c>
      <c r="D62" s="77">
        <v>25401</v>
      </c>
      <c r="E62" s="77">
        <v>25388.48</v>
      </c>
      <c r="F62" s="77">
        <v>25341.279999999999</v>
      </c>
      <c r="G62" s="77">
        <v>25579.95</v>
      </c>
      <c r="H62" s="77">
        <v>25725.82</v>
      </c>
      <c r="I62" s="77">
        <v>25404.06</v>
      </c>
      <c r="J62" s="77">
        <v>25336.080000000002</v>
      </c>
      <c r="K62" s="77">
        <v>25482.05</v>
      </c>
      <c r="L62" s="99"/>
      <c r="M62" s="99"/>
      <c r="N62" s="99"/>
      <c r="O62" s="99"/>
      <c r="P62" s="99"/>
      <c r="Q62" s="100"/>
      <c r="R62" s="101"/>
      <c r="T62" s="97">
        <v>9000</v>
      </c>
      <c r="U62" s="77">
        <v>8090</v>
      </c>
      <c r="V62" s="77">
        <v>12070</v>
      </c>
    </row>
    <row r="63" spans="1:23" ht="15.75" thickBot="1">
      <c r="A63" s="108"/>
      <c r="B63" s="22" t="s">
        <v>136</v>
      </c>
      <c r="C63" s="23">
        <f t="shared" ref="C63:K63" si="17">IF(((C61="")*AND(C62="")),"",(C61-C62)*3)</f>
        <v>10195.5</v>
      </c>
      <c r="D63" s="23">
        <f t="shared" si="17"/>
        <v>10592.52</v>
      </c>
      <c r="E63" s="23">
        <f t="shared" si="17"/>
        <v>10660.680000000004</v>
      </c>
      <c r="F63" s="23">
        <f t="shared" si="17"/>
        <v>10814.070000000007</v>
      </c>
      <c r="G63" s="23">
        <f t="shared" si="17"/>
        <v>10756.5</v>
      </c>
      <c r="H63" s="23">
        <f t="shared" si="17"/>
        <v>10183.649999999998</v>
      </c>
      <c r="I63" s="23">
        <f t="shared" si="17"/>
        <v>10615.5</v>
      </c>
      <c r="J63" s="23">
        <f t="shared" si="17"/>
        <v>10799.339999999997</v>
      </c>
      <c r="K63" s="23">
        <f t="shared" si="17"/>
        <v>11036.070000000007</v>
      </c>
      <c r="L63" s="103"/>
      <c r="M63" s="103"/>
      <c r="N63" s="103"/>
      <c r="O63" s="103"/>
      <c r="P63" s="103"/>
      <c r="Q63" s="104"/>
      <c r="R63" s="105"/>
      <c r="T63" s="97">
        <v>9000</v>
      </c>
      <c r="U63" s="77">
        <v>8090</v>
      </c>
      <c r="V63" s="77">
        <v>12070</v>
      </c>
    </row>
    <row r="64" spans="1:23">
      <c r="A64" s="106">
        <v>42830</v>
      </c>
      <c r="B64" s="20" t="s">
        <v>133</v>
      </c>
      <c r="C64" s="77">
        <v>28978.5</v>
      </c>
      <c r="D64" s="77">
        <v>28855.88</v>
      </c>
      <c r="E64" s="77">
        <v>28890.400000000001</v>
      </c>
      <c r="F64" s="77">
        <v>28851.59</v>
      </c>
      <c r="G64" s="77">
        <v>29061.88</v>
      </c>
      <c r="H64" s="77">
        <v>28980.73</v>
      </c>
      <c r="I64" s="77">
        <v>28839.39</v>
      </c>
      <c r="J64" s="77">
        <v>28855.33</v>
      </c>
      <c r="K64" s="77">
        <v>29114.86</v>
      </c>
      <c r="L64" s="94">
        <f>IF((K65=""),"",MAX(C66:K66))</f>
        <v>10503.660000000003</v>
      </c>
      <c r="M64" s="94">
        <f>IF(K65="","",MIN(C66:K66))</f>
        <v>9493.9199999999983</v>
      </c>
      <c r="N64" s="94">
        <f>IF((K66=""),"",AVERAGE(C66:K66))</f>
        <v>10062.833333333336</v>
      </c>
      <c r="O64" s="94">
        <f>IF((K65=""),"",STDEV(C66:K66))</f>
        <v>296.12249944071624</v>
      </c>
      <c r="P64" s="94">
        <f>IF((K65=""),"",O64/N64*100)</f>
        <v>2.9427348106800553</v>
      </c>
      <c r="Q64" s="95" t="str">
        <f>IF(K65="","",IF(P64&lt;15,IF(N64&gt;9000,IF(N64&lt;15600,"Pass","Fail"),"Fail"),"Fail"))</f>
        <v>Pass</v>
      </c>
      <c r="R64" s="96">
        <v>1335</v>
      </c>
      <c r="T64" s="97">
        <v>9000</v>
      </c>
      <c r="U64" s="77">
        <v>8090</v>
      </c>
      <c r="V64" s="77">
        <v>12070</v>
      </c>
      <c r="W64" s="77">
        <v>6</v>
      </c>
    </row>
    <row r="65" spans="1:23">
      <c r="A65" s="107"/>
      <c r="B65" s="21" t="s">
        <v>135</v>
      </c>
      <c r="C65" s="77">
        <v>25709.17</v>
      </c>
      <c r="D65" s="77">
        <v>25509.1</v>
      </c>
      <c r="E65" s="77">
        <v>25545.99</v>
      </c>
      <c r="F65" s="77">
        <v>25457.73</v>
      </c>
      <c r="G65" s="77">
        <v>25624.78</v>
      </c>
      <c r="H65" s="77">
        <v>25816.09</v>
      </c>
      <c r="I65" s="77">
        <v>25520.39</v>
      </c>
      <c r="J65" s="77">
        <v>25443.17</v>
      </c>
      <c r="K65" s="77">
        <v>25613.64</v>
      </c>
      <c r="L65" s="99"/>
      <c r="M65" s="99"/>
      <c r="N65" s="99"/>
      <c r="O65" s="99"/>
      <c r="P65" s="99"/>
      <c r="Q65" s="100"/>
      <c r="R65" s="101"/>
      <c r="T65" s="97">
        <v>9000</v>
      </c>
      <c r="U65" s="77">
        <v>8090</v>
      </c>
      <c r="V65" s="77">
        <v>12070</v>
      </c>
    </row>
    <row r="66" spans="1:23" ht="15.75" thickBot="1">
      <c r="A66" s="108"/>
      <c r="B66" s="22" t="s">
        <v>136</v>
      </c>
      <c r="C66" s="23">
        <f t="shared" ref="C66:K66" si="18">IF(((C64="")*AND(C65="")),"",(C64-C65)*3)</f>
        <v>9807.9900000000052</v>
      </c>
      <c r="D66" s="23">
        <f t="shared" si="18"/>
        <v>10040.340000000007</v>
      </c>
      <c r="E66" s="23">
        <f t="shared" si="18"/>
        <v>10033.23</v>
      </c>
      <c r="F66" s="23">
        <f t="shared" si="18"/>
        <v>10181.580000000002</v>
      </c>
      <c r="G66" s="23">
        <f t="shared" si="18"/>
        <v>10311.300000000007</v>
      </c>
      <c r="H66" s="23">
        <f t="shared" si="18"/>
        <v>9493.9199999999983</v>
      </c>
      <c r="I66" s="23">
        <f t="shared" si="18"/>
        <v>9957</v>
      </c>
      <c r="J66" s="23">
        <f t="shared" si="18"/>
        <v>10236.48000000001</v>
      </c>
      <c r="K66" s="23">
        <f t="shared" si="18"/>
        <v>10503.660000000003</v>
      </c>
      <c r="L66" s="103"/>
      <c r="M66" s="103"/>
      <c r="N66" s="103"/>
      <c r="O66" s="103"/>
      <c r="P66" s="103"/>
      <c r="Q66" s="104"/>
      <c r="R66" s="105"/>
      <c r="T66" s="97">
        <v>9000</v>
      </c>
      <c r="U66" s="77">
        <v>8090</v>
      </c>
      <c r="V66" s="77">
        <v>12070</v>
      </c>
    </row>
    <row r="67" spans="1:23">
      <c r="A67" s="106">
        <v>42835</v>
      </c>
      <c r="B67" s="20" t="s">
        <v>133</v>
      </c>
      <c r="C67" s="77">
        <v>29067.41</v>
      </c>
      <c r="D67" s="77">
        <v>28872.28</v>
      </c>
      <c r="E67" s="77">
        <v>28848.33</v>
      </c>
      <c r="F67" s="77">
        <v>28854.53</v>
      </c>
      <c r="G67" s="77">
        <v>29068.71</v>
      </c>
      <c r="H67" s="77">
        <v>29020.13</v>
      </c>
      <c r="I67" s="77">
        <v>28857.23</v>
      </c>
      <c r="J67" s="77">
        <v>28861.98</v>
      </c>
      <c r="K67" s="77">
        <v>29065.16</v>
      </c>
      <c r="L67" s="94">
        <f>IF((K68=""),"",MAX(C69:K69))</f>
        <v>10619.759999999995</v>
      </c>
      <c r="M67" s="94">
        <f>IF(K68="","",MIN(C69:K69))</f>
        <v>9738.9599999999991</v>
      </c>
      <c r="N67" s="94">
        <f>IF((K69=""),"",AVERAGE(C69:K69))</f>
        <v>10189.309999999998</v>
      </c>
      <c r="O67" s="94">
        <f>IF((K68=""),"",STDEV(C69:K69))</f>
        <v>275.82105802492794</v>
      </c>
      <c r="P67" s="94">
        <f>IF((K68=""),"",O67/N67*100)</f>
        <v>2.7069650253542981</v>
      </c>
      <c r="Q67" s="95" t="str">
        <f>IF(K68="","",IF(P67&lt;15,IF(N67&gt;9000,IF(N67&lt;15600,"Pass","Fail"),"Fail"),"Fail"))</f>
        <v>Pass</v>
      </c>
      <c r="R67" s="96">
        <v>1400</v>
      </c>
      <c r="S67" s="77" t="s">
        <v>152</v>
      </c>
      <c r="T67" s="97">
        <v>9000</v>
      </c>
      <c r="U67" s="77">
        <v>8090</v>
      </c>
      <c r="V67" s="77">
        <v>12070</v>
      </c>
      <c r="W67" s="77">
        <v>6</v>
      </c>
    </row>
    <row r="68" spans="1:23">
      <c r="A68" s="107"/>
      <c r="B68" s="21" t="s">
        <v>135</v>
      </c>
      <c r="C68" s="77">
        <v>25794.62</v>
      </c>
      <c r="D68" s="77">
        <v>25484.33</v>
      </c>
      <c r="E68" s="77">
        <v>25456.34</v>
      </c>
      <c r="F68" s="77">
        <v>25398.89</v>
      </c>
      <c r="G68" s="77">
        <v>25663.79</v>
      </c>
      <c r="H68" s="77">
        <v>25773.81</v>
      </c>
      <c r="I68" s="77">
        <v>25459.72</v>
      </c>
      <c r="J68" s="77">
        <v>25391.09</v>
      </c>
      <c r="K68" s="77">
        <v>25525.24</v>
      </c>
      <c r="L68" s="99"/>
      <c r="M68" s="99"/>
      <c r="N68" s="99"/>
      <c r="O68" s="99"/>
      <c r="P68" s="99"/>
      <c r="Q68" s="100"/>
      <c r="R68" s="101"/>
      <c r="T68" s="97">
        <v>9000</v>
      </c>
      <c r="U68" s="77">
        <v>8090</v>
      </c>
      <c r="V68" s="77">
        <v>12070</v>
      </c>
    </row>
    <row r="69" spans="1:23" ht="15.75" thickBot="1">
      <c r="A69" s="108"/>
      <c r="B69" s="22" t="s">
        <v>136</v>
      </c>
      <c r="C69" s="23">
        <f t="shared" ref="C69:K69" si="19">IF(((C67="")*AND(C68="")),"",(C67-C68)*3)</f>
        <v>9818.3700000000026</v>
      </c>
      <c r="D69" s="23">
        <f t="shared" si="19"/>
        <v>10163.849999999991</v>
      </c>
      <c r="E69" s="23">
        <f t="shared" si="19"/>
        <v>10175.970000000005</v>
      </c>
      <c r="F69" s="23">
        <f t="shared" si="19"/>
        <v>10366.919999999998</v>
      </c>
      <c r="G69" s="23">
        <f t="shared" si="19"/>
        <v>10214.759999999995</v>
      </c>
      <c r="H69" s="23">
        <f t="shared" si="19"/>
        <v>9738.9599999999991</v>
      </c>
      <c r="I69" s="23">
        <f t="shared" si="19"/>
        <v>10192.529999999995</v>
      </c>
      <c r="J69" s="23">
        <f t="shared" si="19"/>
        <v>10412.669999999998</v>
      </c>
      <c r="K69" s="23">
        <f t="shared" si="19"/>
        <v>10619.759999999995</v>
      </c>
      <c r="L69" s="103"/>
      <c r="M69" s="103"/>
      <c r="N69" s="103"/>
      <c r="O69" s="103"/>
      <c r="P69" s="103"/>
      <c r="Q69" s="104"/>
      <c r="R69" s="105"/>
      <c r="T69" s="97">
        <v>9000</v>
      </c>
      <c r="U69" s="77">
        <v>8090</v>
      </c>
      <c r="V69" s="77">
        <v>12070</v>
      </c>
    </row>
    <row r="70" spans="1:23">
      <c r="A70" s="106">
        <v>42838</v>
      </c>
      <c r="B70" s="20" t="s">
        <v>133</v>
      </c>
      <c r="C70" s="77">
        <v>28985.89</v>
      </c>
      <c r="D70" s="77">
        <v>28804.77</v>
      </c>
      <c r="E70" s="77">
        <v>28847.05</v>
      </c>
      <c r="F70" s="77">
        <v>28810.85</v>
      </c>
      <c r="G70" s="77">
        <v>28990.02</v>
      </c>
      <c r="H70" s="77">
        <v>28946.31</v>
      </c>
      <c r="I70" s="77">
        <v>28790.16</v>
      </c>
      <c r="J70" s="77">
        <v>28798.1</v>
      </c>
      <c r="K70" s="77">
        <v>29037.86</v>
      </c>
      <c r="L70" s="94">
        <f>IF((K71=""),"",MAX(C72:K72))</f>
        <v>10923.54</v>
      </c>
      <c r="M70" s="94">
        <f>IF(K71="","",MIN(C72:K72))</f>
        <v>10002.720000000005</v>
      </c>
      <c r="N70" s="94">
        <f>IF((K72=""),"",AVERAGE(C72:K72))</f>
        <v>10579.21</v>
      </c>
      <c r="O70" s="94">
        <f>IF((K71=""),"",STDEV(C72:K72))</f>
        <v>305.58665722668724</v>
      </c>
      <c r="P70" s="94">
        <f>IF((K71=""),"",O70/N70*100)</f>
        <v>2.8885583822108387</v>
      </c>
      <c r="Q70" s="95" t="str">
        <f>IF(K71="","",IF(P70&lt;15,IF(N70&gt;9000,IF(N70&lt;15600,"Pass","Fail"),"Fail"),"Fail"))</f>
        <v>Pass</v>
      </c>
      <c r="R70" s="96">
        <v>1428</v>
      </c>
      <c r="T70" s="97">
        <v>9000</v>
      </c>
      <c r="U70" s="77">
        <v>8090</v>
      </c>
      <c r="V70" s="77">
        <v>12070</v>
      </c>
      <c r="W70" s="77">
        <v>6</v>
      </c>
    </row>
    <row r="71" spans="1:23">
      <c r="A71" s="107"/>
      <c r="B71" s="21" t="s">
        <v>135</v>
      </c>
      <c r="C71" s="77">
        <v>25585.24</v>
      </c>
      <c r="D71" s="77">
        <v>25283.66</v>
      </c>
      <c r="E71" s="77">
        <v>25305.24</v>
      </c>
      <c r="F71" s="77">
        <v>25201.57</v>
      </c>
      <c r="G71" s="77">
        <v>25389.200000000001</v>
      </c>
      <c r="H71" s="77">
        <v>25612.07</v>
      </c>
      <c r="I71" s="77">
        <v>25289.38</v>
      </c>
      <c r="J71" s="77">
        <v>25210.34</v>
      </c>
      <c r="K71" s="77">
        <v>25396.68</v>
      </c>
      <c r="L71" s="99"/>
      <c r="M71" s="99"/>
      <c r="N71" s="99"/>
      <c r="O71" s="99"/>
      <c r="P71" s="99"/>
      <c r="Q71" s="100"/>
      <c r="R71" s="101"/>
      <c r="T71" s="97">
        <v>9000</v>
      </c>
      <c r="U71" s="77">
        <v>8090</v>
      </c>
      <c r="V71" s="77">
        <v>12070</v>
      </c>
    </row>
    <row r="72" spans="1:23" ht="15.75" thickBot="1">
      <c r="A72" s="108"/>
      <c r="B72" s="22" t="s">
        <v>136</v>
      </c>
      <c r="C72" s="23">
        <f t="shared" ref="C72:K72" si="20">IF(((C70="")*AND(C71="")),"",(C70-C71)*3)</f>
        <v>10201.949999999993</v>
      </c>
      <c r="D72" s="23">
        <f t="shared" si="20"/>
        <v>10563.330000000002</v>
      </c>
      <c r="E72" s="23">
        <f t="shared" si="20"/>
        <v>10625.429999999993</v>
      </c>
      <c r="F72" s="23">
        <f t="shared" si="20"/>
        <v>10827.839999999997</v>
      </c>
      <c r="G72" s="23">
        <f t="shared" si="20"/>
        <v>10802.46</v>
      </c>
      <c r="H72" s="23">
        <f t="shared" si="20"/>
        <v>10002.720000000005</v>
      </c>
      <c r="I72" s="23">
        <f t="shared" si="20"/>
        <v>10502.339999999997</v>
      </c>
      <c r="J72" s="23">
        <f t="shared" si="20"/>
        <v>10763.279999999995</v>
      </c>
      <c r="K72" s="23">
        <f t="shared" si="20"/>
        <v>10923.54</v>
      </c>
      <c r="L72" s="103"/>
      <c r="M72" s="103"/>
      <c r="N72" s="103"/>
      <c r="O72" s="103"/>
      <c r="P72" s="103"/>
      <c r="Q72" s="104"/>
      <c r="R72" s="105"/>
      <c r="T72" s="97">
        <v>9000</v>
      </c>
      <c r="U72" s="77">
        <v>8090</v>
      </c>
      <c r="V72" s="77">
        <v>12070</v>
      </c>
    </row>
    <row r="73" spans="1:23">
      <c r="A73" s="106">
        <v>42838</v>
      </c>
      <c r="B73" s="20" t="s">
        <v>133</v>
      </c>
      <c r="C73" s="77">
        <v>29013.73</v>
      </c>
      <c r="D73" s="77">
        <v>28818.41</v>
      </c>
      <c r="E73" s="77">
        <v>28818.57</v>
      </c>
      <c r="F73" s="77">
        <v>28825.06</v>
      </c>
      <c r="G73" s="77">
        <v>29061.34</v>
      </c>
      <c r="H73" s="77">
        <v>28965.45</v>
      </c>
      <c r="I73" s="77">
        <v>28806.04</v>
      </c>
      <c r="J73" s="77">
        <v>28824.86</v>
      </c>
      <c r="K73" s="77">
        <v>29045.64</v>
      </c>
      <c r="L73" s="94">
        <f>IF((K74=""),"",MAX(C75:K75))</f>
        <v>10201.649999999998</v>
      </c>
      <c r="M73" s="94">
        <f>IF(K74="","",MIN(C75:K75))</f>
        <v>9300.0600000000013</v>
      </c>
      <c r="N73" s="94">
        <f>IF((K75=""),"",AVERAGE(C75:K75))</f>
        <v>9781.409999999998</v>
      </c>
      <c r="O73" s="94">
        <f>IF((K74=""),"",STDEV(C75:K75))</f>
        <v>271.71838799576449</v>
      </c>
      <c r="P73" s="94">
        <f>IF((K74=""),"",O73/N73*100)</f>
        <v>2.7779061300545069</v>
      </c>
      <c r="Q73" s="95" t="str">
        <f>IF(K74="","",IF(P73&lt;15,IF(N73&gt;9000,IF(N73&lt;15600,"Pass","Fail"),"Fail"),"Fail"))</f>
        <v>Pass</v>
      </c>
      <c r="R73" s="96">
        <v>1159</v>
      </c>
      <c r="S73" s="77" t="s">
        <v>153</v>
      </c>
      <c r="T73" s="97">
        <v>9000</v>
      </c>
      <c r="U73" s="77">
        <v>8090</v>
      </c>
      <c r="V73" s="77">
        <v>12070</v>
      </c>
      <c r="W73" s="77">
        <v>6</v>
      </c>
    </row>
    <row r="74" spans="1:23">
      <c r="A74" s="107"/>
      <c r="B74" s="21" t="s">
        <v>135</v>
      </c>
      <c r="C74" s="77">
        <v>25865.18</v>
      </c>
      <c r="D74" s="77">
        <v>25552.52</v>
      </c>
      <c r="E74" s="77">
        <v>25554.48</v>
      </c>
      <c r="F74" s="77">
        <v>25514.85</v>
      </c>
      <c r="G74" s="77">
        <v>25784.79</v>
      </c>
      <c r="H74" s="77">
        <v>25865.43</v>
      </c>
      <c r="I74" s="77">
        <v>25557.54</v>
      </c>
      <c r="J74" s="77">
        <v>25494.99</v>
      </c>
      <c r="K74" s="77">
        <v>25645.09</v>
      </c>
      <c r="L74" s="99"/>
      <c r="M74" s="99"/>
      <c r="N74" s="99"/>
      <c r="O74" s="99"/>
      <c r="P74" s="99"/>
      <c r="Q74" s="100"/>
      <c r="R74" s="101"/>
      <c r="T74" s="97">
        <v>9000</v>
      </c>
      <c r="U74" s="77">
        <v>8090</v>
      </c>
      <c r="V74" s="77">
        <v>12070</v>
      </c>
    </row>
    <row r="75" spans="1:23" ht="15.75" thickBot="1">
      <c r="A75" s="108"/>
      <c r="B75" s="22" t="s">
        <v>136</v>
      </c>
      <c r="C75" s="23">
        <f t="shared" ref="C75:K75" si="21">IF(((C73="")*AND(C74="")),"",(C73-C74)*3)</f>
        <v>9445.6499999999978</v>
      </c>
      <c r="D75" s="23">
        <f t="shared" si="21"/>
        <v>9797.6699999999983</v>
      </c>
      <c r="E75" s="23">
        <f t="shared" si="21"/>
        <v>9792.27</v>
      </c>
      <c r="F75" s="23">
        <f t="shared" si="21"/>
        <v>9930.6300000000083</v>
      </c>
      <c r="G75" s="23">
        <f t="shared" si="21"/>
        <v>9829.6499999999978</v>
      </c>
      <c r="H75" s="23">
        <f t="shared" si="21"/>
        <v>9300.0600000000013</v>
      </c>
      <c r="I75" s="23">
        <f t="shared" si="21"/>
        <v>9745.5</v>
      </c>
      <c r="J75" s="23">
        <f t="shared" si="21"/>
        <v>9989.6099999999969</v>
      </c>
      <c r="K75" s="23">
        <f t="shared" si="21"/>
        <v>10201.649999999998</v>
      </c>
      <c r="L75" s="103"/>
      <c r="M75" s="103"/>
      <c r="N75" s="103"/>
      <c r="O75" s="103"/>
      <c r="P75" s="103"/>
      <c r="Q75" s="104"/>
      <c r="R75" s="105"/>
      <c r="T75" s="97">
        <v>9000</v>
      </c>
      <c r="U75" s="77">
        <v>8090</v>
      </c>
      <c r="V75" s="77">
        <v>12070</v>
      </c>
    </row>
    <row r="76" spans="1:23">
      <c r="A76" s="106">
        <v>42843</v>
      </c>
      <c r="B76" s="20" t="s">
        <v>133</v>
      </c>
      <c r="C76" s="77">
        <v>28950.63</v>
      </c>
      <c r="D76" s="77">
        <v>28809.27</v>
      </c>
      <c r="E76" s="77">
        <v>28867.4</v>
      </c>
      <c r="F76" s="77">
        <v>28827.81</v>
      </c>
      <c r="G76" s="77">
        <v>29066.89</v>
      </c>
      <c r="H76" s="77">
        <v>28959.3</v>
      </c>
      <c r="I76" s="77">
        <v>28804.95</v>
      </c>
      <c r="J76" s="77">
        <v>28813.91</v>
      </c>
      <c r="K76" s="77">
        <v>29043.01</v>
      </c>
      <c r="L76" s="94">
        <f>IF((K77=""),"",MAX(C78:K78))</f>
        <v>10495.469999999994</v>
      </c>
      <c r="M76" s="94">
        <f>IF(K77="","",MIN(C78:K78))</f>
        <v>9497.1599999999926</v>
      </c>
      <c r="N76" s="94">
        <f>IF((K78=""),"",AVERAGE(C78:K78))</f>
        <v>10047.960000000001</v>
      </c>
      <c r="O76" s="94">
        <f>IF((K77=""),"",STDEV(C78:K78))</f>
        <v>288.52095032246638</v>
      </c>
      <c r="P76" s="94">
        <f>IF((K77=""),"",O76/N76*100)</f>
        <v>2.8714380861634239</v>
      </c>
      <c r="Q76" s="95" t="str">
        <f>IF(K77="","",IF(P76&lt;15,IF(N76&gt;9000,IF(N76&lt;15600,"Pass","Fail"),"Fail"),"Fail"))</f>
        <v>Pass</v>
      </c>
      <c r="R76" s="96">
        <v>1335</v>
      </c>
      <c r="T76" s="97">
        <v>9000</v>
      </c>
      <c r="U76" s="77">
        <v>8090</v>
      </c>
      <c r="V76" s="77">
        <v>12070</v>
      </c>
      <c r="W76" s="77">
        <v>6</v>
      </c>
    </row>
    <row r="77" spans="1:23">
      <c r="A77" s="107"/>
      <c r="B77" s="21" t="s">
        <v>135</v>
      </c>
      <c r="C77" s="77">
        <v>25700.12</v>
      </c>
      <c r="D77" s="77">
        <v>25442.91</v>
      </c>
      <c r="E77" s="77">
        <v>25512.17</v>
      </c>
      <c r="F77" s="77">
        <v>25440.38</v>
      </c>
      <c r="G77" s="77">
        <v>25691.61</v>
      </c>
      <c r="H77" s="77">
        <v>25793.58</v>
      </c>
      <c r="I77" s="77">
        <v>25481.26</v>
      </c>
      <c r="J77" s="77">
        <v>25392.74</v>
      </c>
      <c r="K77" s="77">
        <v>25544.52</v>
      </c>
      <c r="L77" s="99"/>
      <c r="M77" s="99"/>
      <c r="N77" s="99"/>
      <c r="O77" s="99"/>
      <c r="P77" s="99"/>
      <c r="Q77" s="100"/>
      <c r="R77" s="101"/>
      <c r="T77" s="97">
        <v>9000</v>
      </c>
      <c r="U77" s="77">
        <v>8090</v>
      </c>
      <c r="V77" s="77">
        <v>12070</v>
      </c>
    </row>
    <row r="78" spans="1:23" ht="15.75" thickBot="1">
      <c r="A78" s="108"/>
      <c r="B78" s="22" t="s">
        <v>136</v>
      </c>
      <c r="C78" s="23">
        <f t="shared" ref="C78:K78" si="22">IF(((C76="")*AND(C77="")),"",(C76-C77)*3)</f>
        <v>9751.5300000000061</v>
      </c>
      <c r="D78" s="23">
        <f t="shared" si="22"/>
        <v>10099.080000000002</v>
      </c>
      <c r="E78" s="23">
        <f t="shared" si="22"/>
        <v>10065.69000000001</v>
      </c>
      <c r="F78" s="23">
        <f t="shared" si="22"/>
        <v>10162.290000000001</v>
      </c>
      <c r="G78" s="23">
        <f t="shared" si="22"/>
        <v>10125.839999999997</v>
      </c>
      <c r="H78" s="23">
        <f t="shared" si="22"/>
        <v>9497.1599999999926</v>
      </c>
      <c r="I78" s="23">
        <f t="shared" si="22"/>
        <v>9971.070000000007</v>
      </c>
      <c r="J78" s="23">
        <f t="shared" si="22"/>
        <v>10263.509999999995</v>
      </c>
      <c r="K78" s="23">
        <f t="shared" si="22"/>
        <v>10495.469999999994</v>
      </c>
      <c r="L78" s="103"/>
      <c r="M78" s="103"/>
      <c r="N78" s="103"/>
      <c r="O78" s="103"/>
      <c r="P78" s="103"/>
      <c r="Q78" s="104"/>
      <c r="R78" s="105"/>
      <c r="T78" s="97">
        <v>9000</v>
      </c>
      <c r="U78" s="77">
        <v>8090</v>
      </c>
      <c r="V78" s="77">
        <v>12070</v>
      </c>
    </row>
    <row r="79" spans="1:23">
      <c r="A79" s="106">
        <v>42846</v>
      </c>
      <c r="B79" s="20" t="s">
        <v>133</v>
      </c>
      <c r="C79" s="77">
        <v>28932.78</v>
      </c>
      <c r="D79" s="77">
        <v>28764.22</v>
      </c>
      <c r="E79" s="77">
        <v>28756.58</v>
      </c>
      <c r="F79" s="77">
        <v>28765.25</v>
      </c>
      <c r="G79" s="77">
        <v>28989.67</v>
      </c>
      <c r="H79" s="77">
        <v>28952.22</v>
      </c>
      <c r="I79" s="77">
        <v>28763.02</v>
      </c>
      <c r="J79" s="77">
        <v>28753.43</v>
      </c>
      <c r="K79" s="77">
        <v>28982.25</v>
      </c>
      <c r="L79" s="94">
        <f>IF((K80=""),"",MAX(C81:K81))</f>
        <v>11013.299999999996</v>
      </c>
      <c r="M79" s="94">
        <f>IF(K80="","",MIN(C81:K81))</f>
        <v>9826.6500000000087</v>
      </c>
      <c r="N79" s="94">
        <f>IF((K81=""),"",AVERAGE(C81:K81))</f>
        <v>10347.870000000003</v>
      </c>
      <c r="O79" s="94">
        <f>IF((K80=""),"",STDEV(C81:K81))</f>
        <v>340.37061859093751</v>
      </c>
      <c r="P79" s="94">
        <f>IF((K80=""),"",O79/N79*100)</f>
        <v>3.2892819352285771</v>
      </c>
      <c r="Q79" s="95" t="str">
        <f>IF(K80="","",IF(P79&lt;15,IF(N79&gt;9000,IF(N79&lt;15600,"Pass","Fail"),"Fail"),"Fail"))</f>
        <v>Pass</v>
      </c>
      <c r="R79" s="96">
        <v>1159</v>
      </c>
      <c r="S79" s="77" t="s">
        <v>154</v>
      </c>
      <c r="T79" s="97">
        <v>9000</v>
      </c>
      <c r="U79" s="77">
        <v>8090</v>
      </c>
      <c r="V79" s="77">
        <v>12070</v>
      </c>
      <c r="W79" s="77">
        <v>6</v>
      </c>
    </row>
    <row r="80" spans="1:23">
      <c r="A80" s="107"/>
      <c r="B80" s="21" t="s">
        <v>135</v>
      </c>
      <c r="C80" s="77">
        <v>25590.43</v>
      </c>
      <c r="D80" s="77">
        <v>25330.18</v>
      </c>
      <c r="E80" s="77">
        <v>25345.09</v>
      </c>
      <c r="F80" s="77">
        <v>25278.38</v>
      </c>
      <c r="G80" s="77">
        <v>25508.26</v>
      </c>
      <c r="H80" s="77">
        <v>25676.67</v>
      </c>
      <c r="I80" s="77">
        <v>25352.46</v>
      </c>
      <c r="J80" s="77">
        <v>25223.19</v>
      </c>
      <c r="K80" s="77">
        <v>25311.15</v>
      </c>
      <c r="L80" s="99"/>
      <c r="M80" s="99"/>
      <c r="N80" s="99"/>
      <c r="O80" s="99"/>
      <c r="P80" s="99"/>
      <c r="Q80" s="100"/>
      <c r="R80" s="101"/>
      <c r="T80" s="97">
        <v>9000</v>
      </c>
      <c r="U80" s="77">
        <v>8090</v>
      </c>
      <c r="V80" s="77">
        <v>12070</v>
      </c>
    </row>
    <row r="81" spans="1:23" ht="15.75" thickBot="1">
      <c r="A81" s="108"/>
      <c r="B81" s="22" t="s">
        <v>136</v>
      </c>
      <c r="C81" s="23">
        <f t="shared" ref="C81:K81" si="23">IF(((C79="")*AND(C80="")),"",(C79-C80)*3)</f>
        <v>10027.049999999996</v>
      </c>
      <c r="D81" s="23">
        <f t="shared" si="23"/>
        <v>10302.120000000003</v>
      </c>
      <c r="E81" s="23">
        <f t="shared" si="23"/>
        <v>10234.470000000005</v>
      </c>
      <c r="F81" s="23">
        <f t="shared" si="23"/>
        <v>10460.609999999997</v>
      </c>
      <c r="G81" s="23">
        <f t="shared" si="23"/>
        <v>10444.23</v>
      </c>
      <c r="H81" s="23">
        <f t="shared" si="23"/>
        <v>9826.6500000000087</v>
      </c>
      <c r="I81" s="23">
        <f t="shared" si="23"/>
        <v>10231.680000000004</v>
      </c>
      <c r="J81" s="23">
        <f t="shared" si="23"/>
        <v>10590.720000000005</v>
      </c>
      <c r="K81" s="23">
        <f t="shared" si="23"/>
        <v>11013.299999999996</v>
      </c>
      <c r="L81" s="103"/>
      <c r="M81" s="103"/>
      <c r="N81" s="103"/>
      <c r="O81" s="103"/>
      <c r="P81" s="103"/>
      <c r="Q81" s="104"/>
      <c r="R81" s="105"/>
      <c r="T81" s="97">
        <v>9000</v>
      </c>
      <c r="U81" s="77">
        <v>8090</v>
      </c>
      <c r="V81" s="77">
        <v>12070</v>
      </c>
    </row>
    <row r="82" spans="1:23">
      <c r="A82" s="106">
        <v>42850</v>
      </c>
      <c r="B82" s="20" t="s">
        <v>133</v>
      </c>
      <c r="C82" s="77">
        <v>28938.21</v>
      </c>
      <c r="D82" s="77">
        <v>28806.74</v>
      </c>
      <c r="E82" s="77">
        <v>28847.23</v>
      </c>
      <c r="F82" s="77">
        <v>28756.21</v>
      </c>
      <c r="G82" s="77">
        <v>29011.56</v>
      </c>
      <c r="H82" s="77">
        <v>28999.72</v>
      </c>
      <c r="I82" s="77">
        <v>28766.68</v>
      </c>
      <c r="J82" s="77">
        <v>28770.05</v>
      </c>
      <c r="K82" s="77">
        <v>29053.64</v>
      </c>
      <c r="L82" s="94">
        <f>IF((K83=""),"",MAX(C84:K84))</f>
        <v>11878.350000000002</v>
      </c>
      <c r="M82" s="94">
        <f>IF(K83="","",MIN(C84:K84))</f>
        <v>10331.880000000008</v>
      </c>
      <c r="N82" s="94">
        <f>IF((K84=""),"",AVERAGE(C84:K84))</f>
        <v>11037.773333333333</v>
      </c>
      <c r="O82" s="94">
        <f>IF((K83=""),"",STDEV(C84:K84))</f>
        <v>472.67631824006264</v>
      </c>
      <c r="P82" s="94">
        <f>IF((K83=""),"",O82/N82*100)</f>
        <v>4.2823521009677918</v>
      </c>
      <c r="Q82" s="95" t="str">
        <f>IF(K83="","",IF(P82&lt;15,IF(N82&gt;9000,IF(N82&lt;15600,"Pass","Fail"),"Fail"),"Fail"))</f>
        <v>Pass</v>
      </c>
      <c r="R82" s="96">
        <v>1335</v>
      </c>
      <c r="T82" s="97">
        <v>9000</v>
      </c>
      <c r="U82" s="77">
        <v>8090</v>
      </c>
      <c r="V82" s="77">
        <v>12070</v>
      </c>
      <c r="W82" s="77">
        <v>6</v>
      </c>
    </row>
    <row r="83" spans="1:23">
      <c r="A83" s="107"/>
      <c r="B83" s="21" t="s">
        <v>135</v>
      </c>
      <c r="C83" s="77">
        <v>25411.99</v>
      </c>
      <c r="D83" s="77">
        <v>25104.06</v>
      </c>
      <c r="E83" s="77">
        <v>25103.8</v>
      </c>
      <c r="F83" s="77">
        <v>25074.560000000001</v>
      </c>
      <c r="G83" s="77">
        <v>25372.47</v>
      </c>
      <c r="H83" s="77">
        <v>25555.759999999998</v>
      </c>
      <c r="I83" s="77">
        <v>25187.33</v>
      </c>
      <c r="J83" s="77">
        <v>24932.560000000001</v>
      </c>
      <c r="K83" s="77">
        <v>25094.19</v>
      </c>
      <c r="L83" s="99"/>
      <c r="M83" s="99"/>
      <c r="N83" s="99"/>
      <c r="O83" s="99"/>
      <c r="P83" s="99"/>
      <c r="Q83" s="100"/>
      <c r="R83" s="101"/>
      <c r="T83" s="97">
        <v>9000</v>
      </c>
      <c r="U83" s="77">
        <v>8090</v>
      </c>
      <c r="V83" s="77">
        <v>12070</v>
      </c>
    </row>
    <row r="84" spans="1:23" ht="15.75" thickBot="1">
      <c r="A84" s="108"/>
      <c r="B84" s="22" t="s">
        <v>136</v>
      </c>
      <c r="C84" s="23">
        <f t="shared" ref="C84:K84" si="24">IF(((C82="")*AND(C83="")),"",(C82-C83)*3)</f>
        <v>10578.659999999993</v>
      </c>
      <c r="D84" s="23">
        <f t="shared" si="24"/>
        <v>11108.04</v>
      </c>
      <c r="E84" s="23">
        <f t="shared" si="24"/>
        <v>11230.29</v>
      </c>
      <c r="F84" s="23">
        <f t="shared" si="24"/>
        <v>11044.949999999993</v>
      </c>
      <c r="G84" s="23">
        <f t="shared" si="24"/>
        <v>10917.27</v>
      </c>
      <c r="H84" s="23">
        <f t="shared" si="24"/>
        <v>10331.880000000008</v>
      </c>
      <c r="I84" s="23">
        <f t="shared" si="24"/>
        <v>10738.049999999996</v>
      </c>
      <c r="J84" s="23">
        <f t="shared" si="24"/>
        <v>11512.469999999994</v>
      </c>
      <c r="K84" s="23">
        <f t="shared" si="24"/>
        <v>11878.350000000002</v>
      </c>
      <c r="L84" s="103"/>
      <c r="M84" s="103"/>
      <c r="N84" s="103"/>
      <c r="O84" s="103"/>
      <c r="P84" s="103"/>
      <c r="Q84" s="104"/>
      <c r="R84" s="105"/>
      <c r="T84" s="97">
        <v>9000</v>
      </c>
      <c r="U84" s="77">
        <v>8090</v>
      </c>
      <c r="V84" s="77">
        <v>12070</v>
      </c>
    </row>
    <row r="85" spans="1:23">
      <c r="A85" s="106">
        <v>42851</v>
      </c>
      <c r="B85" s="20" t="s">
        <v>133</v>
      </c>
      <c r="C85" s="77">
        <v>29004.77</v>
      </c>
      <c r="D85" s="77">
        <v>28805.58</v>
      </c>
      <c r="E85" s="77">
        <v>28838.799999999999</v>
      </c>
      <c r="F85" s="77">
        <v>28781.72</v>
      </c>
      <c r="G85" s="77">
        <v>28983.14</v>
      </c>
      <c r="H85" s="77">
        <v>28970.16</v>
      </c>
      <c r="I85" s="77">
        <v>28795.55</v>
      </c>
      <c r="J85" s="77">
        <v>28767.37</v>
      </c>
      <c r="K85" s="77">
        <v>28930.46</v>
      </c>
      <c r="L85" s="94">
        <f>IF((K86=""),"",MAX(C87:K87))</f>
        <v>10755.54</v>
      </c>
      <c r="M85" s="94">
        <f>IF(K86="","",MIN(C87:K87))</f>
        <v>9079.2000000000044</v>
      </c>
      <c r="N85" s="94">
        <f>IF((K87=""),"",AVERAGE(C87:K87))</f>
        <v>9818.1066666666666</v>
      </c>
      <c r="O85" s="94">
        <f>IF((K86=""),"",STDEV(C87:K87))</f>
        <v>461.89519309038769</v>
      </c>
      <c r="P85" s="94">
        <f>IF((K86=""),"",O85/N85*100)</f>
        <v>4.7045240877099292</v>
      </c>
      <c r="Q85" s="95" t="str">
        <f>IF(K86="","",IF(P85&lt;15,IF(N85&gt;9000,IF(N85&lt;15600,"Pass","Fail"),"Fail"),"Fail"))</f>
        <v>Pass</v>
      </c>
      <c r="R85" s="96">
        <v>1159</v>
      </c>
      <c r="S85" s="77" t="s">
        <v>155</v>
      </c>
      <c r="T85" s="97">
        <v>9000</v>
      </c>
      <c r="U85" s="77">
        <v>8090</v>
      </c>
      <c r="V85" s="77">
        <v>12070</v>
      </c>
      <c r="W85" s="77">
        <v>6</v>
      </c>
    </row>
    <row r="86" spans="1:23">
      <c r="A86" s="107"/>
      <c r="B86" s="21" t="s">
        <v>135</v>
      </c>
      <c r="C86" s="77">
        <v>25839.29</v>
      </c>
      <c r="D86" s="77">
        <v>25529.24</v>
      </c>
      <c r="E86" s="77">
        <v>25574.15</v>
      </c>
      <c r="F86" s="77">
        <v>25477.18</v>
      </c>
      <c r="G86" s="77">
        <v>25763.59</v>
      </c>
      <c r="H86" s="77">
        <v>25943.759999999998</v>
      </c>
      <c r="I86" s="77">
        <v>25572.2</v>
      </c>
      <c r="J86" s="77">
        <v>25378.54</v>
      </c>
      <c r="K86" s="77">
        <v>25345.279999999999</v>
      </c>
      <c r="L86" s="99"/>
      <c r="M86" s="99"/>
      <c r="N86" s="99"/>
      <c r="O86" s="99"/>
      <c r="P86" s="99"/>
      <c r="Q86" s="100"/>
      <c r="R86" s="101"/>
      <c r="T86" s="97">
        <v>9000</v>
      </c>
      <c r="U86" s="77">
        <v>8090</v>
      </c>
      <c r="V86" s="77">
        <v>12070</v>
      </c>
    </row>
    <row r="87" spans="1:23" ht="15.75" thickBot="1">
      <c r="A87" s="108"/>
      <c r="B87" s="22" t="s">
        <v>136</v>
      </c>
      <c r="C87" s="23">
        <f t="shared" ref="C87:K87" si="25">IF(((C85="")*AND(C86="")),"",(C85-C86)*3)</f>
        <v>9496.4399999999987</v>
      </c>
      <c r="D87" s="23">
        <f t="shared" si="25"/>
        <v>9829.02</v>
      </c>
      <c r="E87" s="23">
        <f t="shared" si="25"/>
        <v>9793.9499999999935</v>
      </c>
      <c r="F87" s="23">
        <f t="shared" si="25"/>
        <v>9913.6200000000026</v>
      </c>
      <c r="G87" s="23">
        <f t="shared" si="25"/>
        <v>9658.6499999999978</v>
      </c>
      <c r="H87" s="23">
        <f t="shared" si="25"/>
        <v>9079.2000000000044</v>
      </c>
      <c r="I87" s="23">
        <f t="shared" si="25"/>
        <v>9670.0499999999956</v>
      </c>
      <c r="J87" s="23">
        <f t="shared" si="25"/>
        <v>10166.489999999994</v>
      </c>
      <c r="K87" s="23">
        <f t="shared" si="25"/>
        <v>10755.54</v>
      </c>
      <c r="L87" s="103"/>
      <c r="M87" s="103"/>
      <c r="N87" s="103"/>
      <c r="O87" s="103"/>
      <c r="P87" s="103"/>
      <c r="Q87" s="104"/>
      <c r="R87" s="105"/>
      <c r="T87" s="97">
        <v>9000</v>
      </c>
      <c r="U87" s="77">
        <v>8090</v>
      </c>
      <c r="V87" s="77">
        <v>12070</v>
      </c>
    </row>
    <row r="88" spans="1:23">
      <c r="A88" s="106">
        <v>42856</v>
      </c>
      <c r="B88" s="20" t="s">
        <v>133</v>
      </c>
      <c r="C88" s="77">
        <v>24219</v>
      </c>
      <c r="D88" s="77">
        <v>24706</v>
      </c>
      <c r="E88" s="77">
        <v>24839</v>
      </c>
      <c r="F88" s="77">
        <v>24677</v>
      </c>
      <c r="G88" s="77">
        <v>24107</v>
      </c>
      <c r="H88" s="77">
        <v>24178</v>
      </c>
      <c r="I88" s="77">
        <v>24700</v>
      </c>
      <c r="J88" s="77">
        <v>24658</v>
      </c>
      <c r="K88" s="77">
        <v>24122</v>
      </c>
      <c r="L88" s="94">
        <f>IF((K89=""),"",MAX(C90:K90))</f>
        <v>8916</v>
      </c>
      <c r="M88" s="94">
        <f>IF(K89="","",MIN(C90:K90))</f>
        <v>7659</v>
      </c>
      <c r="N88" s="94">
        <f>IF((K90=""),"",AVERAGE(C90:K90))</f>
        <v>8466.3333333333339</v>
      </c>
      <c r="O88" s="94">
        <f>IF((K89=""),"",STDEV(C90:K90))</f>
        <v>359.52607694018525</v>
      </c>
      <c r="P88" s="94">
        <f>IF((K89=""),"",O88/N88*100)</f>
        <v>4.2465381740247876</v>
      </c>
      <c r="Q88" s="95" t="str">
        <f>IF(K89="","",IF(P88&lt;15,IF(N88&gt;9000,IF(N88&lt;15600,"Pass","Fail"),"Fail"),"Fail"))</f>
        <v>Fail</v>
      </c>
      <c r="R88" s="96">
        <v>121</v>
      </c>
      <c r="T88" s="97">
        <v>9000</v>
      </c>
      <c r="U88" s="77">
        <v>8090</v>
      </c>
      <c r="V88" s="77">
        <v>12070</v>
      </c>
      <c r="W88" s="77">
        <v>6</v>
      </c>
    </row>
    <row r="89" spans="1:23">
      <c r="A89" s="107"/>
      <c r="B89" s="21" t="s">
        <v>135</v>
      </c>
      <c r="C89" s="77">
        <v>21349</v>
      </c>
      <c r="D89" s="77">
        <v>21815</v>
      </c>
      <c r="E89" s="77">
        <v>22014</v>
      </c>
      <c r="F89" s="77">
        <v>21900</v>
      </c>
      <c r="G89" s="77">
        <v>21554</v>
      </c>
      <c r="H89" s="77">
        <v>21206</v>
      </c>
      <c r="I89" s="77">
        <v>21794</v>
      </c>
      <c r="J89" s="77">
        <v>21816</v>
      </c>
      <c r="K89" s="77">
        <v>21359</v>
      </c>
      <c r="L89" s="99"/>
      <c r="M89" s="99"/>
      <c r="N89" s="99"/>
      <c r="O89" s="99"/>
      <c r="P89" s="99"/>
      <c r="Q89" s="100"/>
      <c r="R89" s="101"/>
      <c r="T89" s="97">
        <v>9000</v>
      </c>
      <c r="U89" s="77">
        <v>8090</v>
      </c>
      <c r="V89" s="77">
        <v>12070</v>
      </c>
    </row>
    <row r="90" spans="1:23" ht="15.75" thickBot="1">
      <c r="A90" s="108"/>
      <c r="B90" s="22" t="s">
        <v>136</v>
      </c>
      <c r="C90" s="23">
        <f t="shared" ref="C90:K90" si="26">IF(((C88="")*AND(C89="")),"",(C88-C89)*3)</f>
        <v>8610</v>
      </c>
      <c r="D90" s="23">
        <f t="shared" si="26"/>
        <v>8673</v>
      </c>
      <c r="E90" s="23">
        <f t="shared" si="26"/>
        <v>8475</v>
      </c>
      <c r="F90" s="23">
        <f t="shared" si="26"/>
        <v>8331</v>
      </c>
      <c r="G90" s="23">
        <f t="shared" si="26"/>
        <v>7659</v>
      </c>
      <c r="H90" s="23">
        <f t="shared" si="26"/>
        <v>8916</v>
      </c>
      <c r="I90" s="23">
        <f t="shared" si="26"/>
        <v>8718</v>
      </c>
      <c r="J90" s="23">
        <f t="shared" si="26"/>
        <v>8526</v>
      </c>
      <c r="K90" s="23">
        <f t="shared" si="26"/>
        <v>8289</v>
      </c>
      <c r="L90" s="103"/>
      <c r="M90" s="103"/>
      <c r="N90" s="103"/>
      <c r="O90" s="103"/>
      <c r="P90" s="103"/>
      <c r="Q90" s="104"/>
      <c r="R90" s="105"/>
      <c r="T90" s="97">
        <v>9000</v>
      </c>
      <c r="U90" s="77">
        <v>8090</v>
      </c>
      <c r="V90" s="77">
        <v>12070</v>
      </c>
    </row>
    <row r="91" spans="1:23">
      <c r="A91" s="106">
        <v>42857</v>
      </c>
      <c r="B91" s="20" t="s">
        <v>133</v>
      </c>
      <c r="C91" s="77">
        <v>29414.19</v>
      </c>
      <c r="D91" s="77">
        <v>29222.99</v>
      </c>
      <c r="E91" s="77">
        <v>29281.94</v>
      </c>
      <c r="F91" s="77">
        <v>29229.93</v>
      </c>
      <c r="G91" s="77">
        <v>29455.11</v>
      </c>
      <c r="H91" s="77">
        <v>29348.23</v>
      </c>
      <c r="I91" s="77" t="s">
        <v>156</v>
      </c>
      <c r="J91" s="77">
        <v>29209.85</v>
      </c>
      <c r="K91" s="77">
        <v>29478.16</v>
      </c>
      <c r="L91" s="94" t="e">
        <f>IF((K92=""),"",MAX(C93:K93))</f>
        <v>#VALUE!</v>
      </c>
      <c r="M91" s="94" t="e">
        <f>IF(K92="","",MIN(C93:K93))</f>
        <v>#VALUE!</v>
      </c>
      <c r="N91" s="94" t="e">
        <f>IF((K93=""),"",AVERAGE(C93:K93))</f>
        <v>#VALUE!</v>
      </c>
      <c r="O91" s="94" t="e">
        <f>IF((K92=""),"",STDEV(C93:K93))</f>
        <v>#VALUE!</v>
      </c>
      <c r="P91" s="94" t="e">
        <f>IF((K92=""),"",O91/N91*100)</f>
        <v>#VALUE!</v>
      </c>
      <c r="Q91" s="95" t="e">
        <f>IF(K92="","",IF(P91&lt;15,IF(N91&gt;9000,IF(N91&lt;15600,"Pass","Fail"),"Fail"),"Fail"))</f>
        <v>#VALUE!</v>
      </c>
      <c r="R91" s="96">
        <v>122</v>
      </c>
      <c r="T91" s="97">
        <v>9000</v>
      </c>
      <c r="U91" s="77">
        <v>8090</v>
      </c>
      <c r="V91" s="77">
        <v>12070</v>
      </c>
      <c r="W91" s="77">
        <v>6</v>
      </c>
    </row>
    <row r="92" spans="1:23">
      <c r="A92" s="107"/>
      <c r="B92" s="21" t="s">
        <v>135</v>
      </c>
      <c r="C92" s="77">
        <v>25681.52</v>
      </c>
      <c r="D92" s="77">
        <v>25530.799999999999</v>
      </c>
      <c r="E92" s="77">
        <v>25681.4</v>
      </c>
      <c r="F92" s="77">
        <v>25627.72</v>
      </c>
      <c r="G92" s="77">
        <v>26009.23</v>
      </c>
      <c r="H92" s="77">
        <v>25463.71</v>
      </c>
      <c r="I92" s="77">
        <v>25489.599999999999</v>
      </c>
      <c r="J92" s="77">
        <v>25599.8</v>
      </c>
      <c r="K92" s="77">
        <v>25959.48</v>
      </c>
      <c r="L92" s="99"/>
      <c r="M92" s="99"/>
      <c r="N92" s="99"/>
      <c r="O92" s="99"/>
      <c r="P92" s="99"/>
      <c r="Q92" s="100"/>
      <c r="R92" s="101"/>
      <c r="T92" s="97">
        <v>9000</v>
      </c>
      <c r="U92" s="77">
        <v>8090</v>
      </c>
      <c r="V92" s="77">
        <v>12070</v>
      </c>
    </row>
    <row r="93" spans="1:23" ht="15.75" thickBot="1">
      <c r="A93" s="108"/>
      <c r="B93" s="22" t="s">
        <v>136</v>
      </c>
      <c r="C93" s="23">
        <f t="shared" ref="C93:K93" si="27">IF(((C91="")*AND(C92="")),"",(C91-C92)*3)</f>
        <v>11198.009999999995</v>
      </c>
      <c r="D93" s="23">
        <f t="shared" si="27"/>
        <v>11076.570000000007</v>
      </c>
      <c r="E93" s="23">
        <f t="shared" si="27"/>
        <v>10801.619999999992</v>
      </c>
      <c r="F93" s="23">
        <f t="shared" si="27"/>
        <v>10806.629999999997</v>
      </c>
      <c r="G93" s="23">
        <f t="shared" si="27"/>
        <v>10337.640000000003</v>
      </c>
      <c r="H93" s="23">
        <f t="shared" si="27"/>
        <v>11653.560000000001</v>
      </c>
      <c r="I93" s="23" t="e">
        <f t="shared" si="27"/>
        <v>#VALUE!</v>
      </c>
      <c r="J93" s="23">
        <f t="shared" si="27"/>
        <v>10830.149999999998</v>
      </c>
      <c r="K93" s="23">
        <f t="shared" si="27"/>
        <v>10556.04</v>
      </c>
      <c r="L93" s="103"/>
      <c r="M93" s="103"/>
      <c r="N93" s="103"/>
      <c r="O93" s="103"/>
      <c r="P93" s="103"/>
      <c r="Q93" s="104"/>
      <c r="R93" s="105"/>
      <c r="T93" s="97">
        <v>9000</v>
      </c>
      <c r="U93" s="77">
        <v>8090</v>
      </c>
      <c r="V93" s="77">
        <v>12070</v>
      </c>
    </row>
    <row r="94" spans="1:23">
      <c r="A94" s="106">
        <v>42858</v>
      </c>
      <c r="B94" s="20" t="s">
        <v>133</v>
      </c>
      <c r="L94" s="94" t="str">
        <f>IF((K95=""),"",MAX(C96:K96))</f>
        <v/>
      </c>
      <c r="M94" s="94" t="str">
        <f>IF(K95="","",MIN(C96:K96))</f>
        <v/>
      </c>
      <c r="N94" s="94" t="str">
        <f>IF((K96=""),"",AVERAGE(C96:K96))</f>
        <v/>
      </c>
      <c r="O94" s="94" t="str">
        <f>IF((K95=""),"",STDEV(C96:K96))</f>
        <v/>
      </c>
      <c r="P94" s="94" t="str">
        <f>IF((K95=""),"",O94/N94*100)</f>
        <v/>
      </c>
      <c r="Q94" s="95" t="str">
        <f>IF(K95="","",IF(P94&lt;15,IF(N94&gt;9000,IF(N94&lt;15600,"Pass","Fail"),"Fail"),"Fail"))</f>
        <v/>
      </c>
      <c r="R94" s="96">
        <v>123</v>
      </c>
      <c r="T94" s="97">
        <v>9000</v>
      </c>
      <c r="U94" s="77">
        <v>8090</v>
      </c>
      <c r="V94" s="77">
        <v>12070</v>
      </c>
      <c r="W94" s="77">
        <v>6</v>
      </c>
    </row>
    <row r="95" spans="1:23">
      <c r="A95" s="107"/>
      <c r="B95" s="21" t="s">
        <v>135</v>
      </c>
      <c r="L95" s="99"/>
      <c r="M95" s="99"/>
      <c r="N95" s="99"/>
      <c r="O95" s="99"/>
      <c r="P95" s="99"/>
      <c r="Q95" s="100"/>
      <c r="R95" s="101"/>
      <c r="T95" s="97">
        <v>9000</v>
      </c>
      <c r="U95" s="77">
        <v>8090</v>
      </c>
      <c r="V95" s="77">
        <v>12070</v>
      </c>
    </row>
    <row r="96" spans="1:23" ht="15.75" thickBot="1">
      <c r="A96" s="108"/>
      <c r="B96" s="22" t="s">
        <v>136</v>
      </c>
      <c r="C96" s="23" t="str">
        <f t="shared" ref="C96:K96" si="28">IF(((C94="")*AND(C95="")),"",(C94-C95)*3)</f>
        <v/>
      </c>
      <c r="D96" s="23" t="str">
        <f t="shared" si="28"/>
        <v/>
      </c>
      <c r="E96" s="23" t="str">
        <f t="shared" si="28"/>
        <v/>
      </c>
      <c r="F96" s="23" t="str">
        <f t="shared" si="28"/>
        <v/>
      </c>
      <c r="G96" s="23" t="str">
        <f t="shared" si="28"/>
        <v/>
      </c>
      <c r="H96" s="23" t="str">
        <f t="shared" si="28"/>
        <v/>
      </c>
      <c r="I96" s="23" t="str">
        <f t="shared" si="28"/>
        <v/>
      </c>
      <c r="J96" s="23" t="str">
        <f t="shared" si="28"/>
        <v/>
      </c>
      <c r="K96" s="23" t="str">
        <f t="shared" si="28"/>
        <v/>
      </c>
      <c r="L96" s="103"/>
      <c r="M96" s="103"/>
      <c r="N96" s="103"/>
      <c r="O96" s="103"/>
      <c r="P96" s="103"/>
      <c r="Q96" s="104"/>
      <c r="R96" s="105"/>
      <c r="T96" s="97">
        <v>9000</v>
      </c>
      <c r="U96" s="77">
        <v>8090</v>
      </c>
      <c r="V96" s="77">
        <v>12070</v>
      </c>
    </row>
    <row r="97" spans="1:23">
      <c r="A97" s="106">
        <v>42859</v>
      </c>
      <c r="B97" s="20" t="s">
        <v>133</v>
      </c>
      <c r="C97" s="77">
        <v>29414.19</v>
      </c>
      <c r="D97" s="77">
        <v>29222.99</v>
      </c>
      <c r="E97" s="77">
        <v>29281.94</v>
      </c>
      <c r="F97" s="77">
        <v>29229.93</v>
      </c>
      <c r="G97" s="77">
        <v>29455.11</v>
      </c>
      <c r="H97" s="77">
        <v>29348.23</v>
      </c>
      <c r="I97" s="77" t="s">
        <v>156</v>
      </c>
      <c r="J97" s="77">
        <v>29209.85</v>
      </c>
      <c r="K97" s="77">
        <v>29478.16</v>
      </c>
      <c r="L97" s="94" t="e">
        <f>IF((K98=""),"",MAX(C99:K99))</f>
        <v>#VALUE!</v>
      </c>
      <c r="M97" s="94" t="e">
        <f>IF(K98="","",MIN(C99:K99))</f>
        <v>#VALUE!</v>
      </c>
      <c r="N97" s="94" t="e">
        <f>IF((K99=""),"",AVERAGE(C99:K99))</f>
        <v>#VALUE!</v>
      </c>
      <c r="O97" s="94" t="e">
        <f>IF((K98=""),"",STDEV(C99:K99))</f>
        <v>#VALUE!</v>
      </c>
      <c r="P97" s="94" t="e">
        <f>IF((K98=""),"",O97/N97*100)</f>
        <v>#VALUE!</v>
      </c>
      <c r="Q97" s="95" t="e">
        <f>IF(K98="","",IF(P97&lt;15,IF(N97&gt;9000,IF(N97&lt;15600,"Pass","Fail"),"Fail"),"Fail"))</f>
        <v>#VALUE!</v>
      </c>
      <c r="R97" s="96">
        <v>124</v>
      </c>
      <c r="T97" s="97">
        <v>9000</v>
      </c>
      <c r="U97" s="77">
        <v>8090</v>
      </c>
      <c r="V97" s="77">
        <v>12070</v>
      </c>
      <c r="W97" s="77">
        <v>6</v>
      </c>
    </row>
    <row r="98" spans="1:23">
      <c r="A98" s="107"/>
      <c r="B98" s="21" t="s">
        <v>135</v>
      </c>
      <c r="C98" s="77">
        <v>25681.52</v>
      </c>
      <c r="D98" s="77">
        <v>25530.799999999999</v>
      </c>
      <c r="E98" s="77">
        <v>25681.4</v>
      </c>
      <c r="F98" s="77">
        <v>25627.72</v>
      </c>
      <c r="G98" s="77">
        <v>26009.23</v>
      </c>
      <c r="H98" s="77">
        <v>25463.71</v>
      </c>
      <c r="I98" s="77">
        <v>25489.599999999999</v>
      </c>
      <c r="J98" s="77">
        <v>25599.8</v>
      </c>
      <c r="K98" s="77">
        <v>25959.48</v>
      </c>
      <c r="L98" s="99"/>
      <c r="M98" s="99"/>
      <c r="N98" s="99"/>
      <c r="O98" s="99"/>
      <c r="P98" s="99"/>
      <c r="Q98" s="100"/>
      <c r="R98" s="101"/>
      <c r="T98" s="97">
        <v>9000</v>
      </c>
      <c r="U98" s="77">
        <v>8090</v>
      </c>
      <c r="V98" s="77">
        <v>12070</v>
      </c>
    </row>
    <row r="99" spans="1:23" ht="15.75" thickBot="1">
      <c r="A99" s="108"/>
      <c r="B99" s="22" t="s">
        <v>136</v>
      </c>
      <c r="C99" s="23">
        <f t="shared" ref="C99:K99" si="29">IF(((C97="")*AND(C98="")),"",(C97-C98)*3)</f>
        <v>11198.009999999995</v>
      </c>
      <c r="D99" s="23">
        <f t="shared" si="29"/>
        <v>11076.570000000007</v>
      </c>
      <c r="E99" s="23">
        <f t="shared" si="29"/>
        <v>10801.619999999992</v>
      </c>
      <c r="F99" s="23">
        <f t="shared" si="29"/>
        <v>10806.629999999997</v>
      </c>
      <c r="G99" s="23">
        <f t="shared" si="29"/>
        <v>10337.640000000003</v>
      </c>
      <c r="H99" s="23">
        <f t="shared" si="29"/>
        <v>11653.560000000001</v>
      </c>
      <c r="I99" s="23" t="e">
        <f>IF(((I97="")*AND(I98="")),"",(I97-I98)*3)</f>
        <v>#VALUE!</v>
      </c>
      <c r="J99" s="23">
        <f t="shared" si="29"/>
        <v>10830.149999999998</v>
      </c>
      <c r="K99" s="23">
        <f t="shared" si="29"/>
        <v>10556.04</v>
      </c>
      <c r="L99" s="103"/>
      <c r="M99" s="103"/>
      <c r="N99" s="103"/>
      <c r="O99" s="103"/>
      <c r="P99" s="103"/>
      <c r="Q99" s="104"/>
      <c r="R99" s="105"/>
      <c r="T99" s="97">
        <v>9000</v>
      </c>
      <c r="U99" s="77">
        <v>8090</v>
      </c>
      <c r="V99" s="77">
        <v>12070</v>
      </c>
    </row>
    <row r="100" spans="1:23">
      <c r="A100" s="106">
        <v>42862</v>
      </c>
      <c r="B100" s="20" t="s">
        <v>133</v>
      </c>
      <c r="C100" s="77">
        <v>29276.78</v>
      </c>
      <c r="D100" s="77">
        <v>29117.88</v>
      </c>
      <c r="E100" s="77">
        <v>29118.92</v>
      </c>
      <c r="F100" s="77">
        <v>29142.34</v>
      </c>
      <c r="G100" s="77">
        <v>29352</v>
      </c>
      <c r="H100" s="77">
        <v>29304.7</v>
      </c>
      <c r="I100" s="77">
        <v>29129.84</v>
      </c>
      <c r="J100" s="77">
        <v>29111.61</v>
      </c>
      <c r="K100" s="77">
        <v>29347.37</v>
      </c>
      <c r="L100" s="94">
        <f>IF((K101=""),"",MAX(C102:K102))</f>
        <v>11374.169999999998</v>
      </c>
      <c r="M100" s="94">
        <f>IF(K101="","",MIN(C102:K102))</f>
        <v>10128.899999999998</v>
      </c>
      <c r="N100" s="94">
        <f>IF((K102=""),"",AVERAGE(C102:K102))</f>
        <v>10804.716666666665</v>
      </c>
      <c r="O100" s="94">
        <f>IF((K101=""),"",STDEV(C102:K102))</f>
        <v>381.78571034679709</v>
      </c>
      <c r="P100" s="94">
        <f>IF((K101=""),"",O100/N100*100)</f>
        <v>3.533509689565796</v>
      </c>
      <c r="Q100" s="95" t="str">
        <f>IF(K101="","",IF(P100&lt;15,IF(N100&gt;9000,IF(N100&lt;15600,"Pass","Fail"),"Fail"),"Fail"))</f>
        <v>Pass</v>
      </c>
      <c r="R100" s="96">
        <v>1428</v>
      </c>
      <c r="S100" s="109" t="s">
        <v>157</v>
      </c>
      <c r="T100" s="97">
        <v>9000</v>
      </c>
      <c r="U100" s="77">
        <v>8090</v>
      </c>
      <c r="V100" s="77">
        <v>12070</v>
      </c>
      <c r="W100" s="77">
        <v>6</v>
      </c>
    </row>
    <row r="101" spans="1:23">
      <c r="A101" s="107"/>
      <c r="B101" s="21" t="s">
        <v>135</v>
      </c>
      <c r="C101" s="77">
        <v>25837.11</v>
      </c>
      <c r="D101" s="77">
        <v>25518.54</v>
      </c>
      <c r="E101" s="77">
        <v>25497.8</v>
      </c>
      <c r="F101" s="77">
        <v>25468</v>
      </c>
      <c r="G101" s="77">
        <v>25710.86</v>
      </c>
      <c r="H101" s="77">
        <v>25928.400000000001</v>
      </c>
      <c r="I101" s="77">
        <v>25553.72</v>
      </c>
      <c r="J101" s="77">
        <v>25416.880000000001</v>
      </c>
      <c r="K101" s="77">
        <v>25555.98</v>
      </c>
      <c r="L101" s="99"/>
      <c r="M101" s="99"/>
      <c r="N101" s="99"/>
      <c r="O101" s="99"/>
      <c r="P101" s="99"/>
      <c r="Q101" s="100"/>
      <c r="R101" s="101"/>
      <c r="T101" s="97">
        <v>9000</v>
      </c>
      <c r="U101" s="77">
        <v>8090</v>
      </c>
      <c r="V101" s="77">
        <v>12070</v>
      </c>
    </row>
    <row r="102" spans="1:23" ht="15.75" thickBot="1">
      <c r="A102" s="108"/>
      <c r="B102" s="22" t="s">
        <v>136</v>
      </c>
      <c r="C102" s="23">
        <f t="shared" ref="C102:K102" si="30">IF(((C100="")*AND(C101="")),"",(C100-C101)*3)</f>
        <v>10319.009999999995</v>
      </c>
      <c r="D102" s="23">
        <f t="shared" si="30"/>
        <v>10798.02</v>
      </c>
      <c r="E102" s="23">
        <f t="shared" si="30"/>
        <v>10863.359999999997</v>
      </c>
      <c r="F102" s="23">
        <f t="shared" si="30"/>
        <v>11023.02</v>
      </c>
      <c r="G102" s="23">
        <f t="shared" si="30"/>
        <v>10923.419999999998</v>
      </c>
      <c r="H102" s="23">
        <f t="shared" si="30"/>
        <v>10128.899999999998</v>
      </c>
      <c r="I102" s="23">
        <f t="shared" si="30"/>
        <v>10728.359999999997</v>
      </c>
      <c r="J102" s="23">
        <f t="shared" si="30"/>
        <v>11084.189999999999</v>
      </c>
      <c r="K102" s="23">
        <f t="shared" si="30"/>
        <v>11374.169999999998</v>
      </c>
      <c r="L102" s="103"/>
      <c r="M102" s="103"/>
      <c r="N102" s="103"/>
      <c r="O102" s="103"/>
      <c r="P102" s="103"/>
      <c r="Q102" s="104"/>
      <c r="R102" s="105"/>
      <c r="T102" s="97">
        <v>9000</v>
      </c>
      <c r="U102" s="77">
        <v>8090</v>
      </c>
      <c r="V102" s="77">
        <v>12070</v>
      </c>
    </row>
    <row r="103" spans="1:23">
      <c r="A103" s="106">
        <v>42866</v>
      </c>
      <c r="B103" s="20" t="s">
        <v>133</v>
      </c>
      <c r="C103" s="77">
        <v>29319.26</v>
      </c>
      <c r="D103" s="77">
        <v>29130.16</v>
      </c>
      <c r="E103" s="77">
        <v>29146.05</v>
      </c>
      <c r="F103" s="77">
        <v>29148.63</v>
      </c>
      <c r="G103" s="77">
        <v>29335.25</v>
      </c>
      <c r="H103" s="77">
        <v>29345.53</v>
      </c>
      <c r="I103" s="77">
        <v>29147.119999999999</v>
      </c>
      <c r="J103" s="77">
        <v>29133.61</v>
      </c>
      <c r="K103" s="77">
        <v>29328.22</v>
      </c>
      <c r="L103" s="94">
        <f>IF((K104=""),"",MAX(C105:K105))</f>
        <v>11849.759999999995</v>
      </c>
      <c r="M103" s="94">
        <f>IF(K104="","",MIN(C105:K105))</f>
        <v>10292.040000000001</v>
      </c>
      <c r="N103" s="94">
        <f>IF((K105=""),"",AVERAGE(C105:K105))</f>
        <v>11090.056666666667</v>
      </c>
      <c r="O103" s="94">
        <f>IF((K104=""),"",STDEV(C105:K105))</f>
        <v>445.16481787643147</v>
      </c>
      <c r="P103" s="94">
        <f>IF((K104=""),"",O103/N103*100)</f>
        <v>4.0140896593834485</v>
      </c>
      <c r="Q103" s="95" t="str">
        <f>IF(K104="","",IF(P103&lt;15,IF(N103&gt;9000,IF(N103&lt;15600,"Pass","Fail"),"Fail"),"Fail"))</f>
        <v>Pass</v>
      </c>
      <c r="R103" s="96">
        <v>1428</v>
      </c>
      <c r="S103" s="109" t="s">
        <v>158</v>
      </c>
      <c r="T103" s="97">
        <v>9000</v>
      </c>
      <c r="U103" s="77">
        <v>8090</v>
      </c>
      <c r="V103" s="77">
        <v>12070</v>
      </c>
      <c r="W103" s="77">
        <v>6</v>
      </c>
    </row>
    <row r="104" spans="1:23">
      <c r="A104" s="107"/>
      <c r="B104" s="21" t="s">
        <v>135</v>
      </c>
      <c r="C104" s="77">
        <v>25658.06</v>
      </c>
      <c r="D104" s="77">
        <v>25380.62</v>
      </c>
      <c r="E104" s="77">
        <v>25429.46</v>
      </c>
      <c r="F104" s="77">
        <v>25426.42</v>
      </c>
      <c r="G104" s="77">
        <v>25770.85</v>
      </c>
      <c r="H104" s="77">
        <v>25395.61</v>
      </c>
      <c r="I104" s="77">
        <v>25321.89</v>
      </c>
      <c r="J104" s="77">
        <v>25483.21</v>
      </c>
      <c r="K104" s="77">
        <v>25897.54</v>
      </c>
      <c r="L104" s="99"/>
      <c r="M104" s="99"/>
      <c r="N104" s="99"/>
      <c r="O104" s="99"/>
      <c r="P104" s="99"/>
      <c r="Q104" s="100"/>
      <c r="R104" s="101"/>
      <c r="T104" s="97">
        <v>9000</v>
      </c>
      <c r="U104" s="77">
        <v>8090</v>
      </c>
      <c r="V104" s="77">
        <v>12070</v>
      </c>
    </row>
    <row r="105" spans="1:23" ht="15.75" thickBot="1">
      <c r="A105" s="108"/>
      <c r="B105" s="22" t="s">
        <v>136</v>
      </c>
      <c r="C105" s="23">
        <f t="shared" ref="C105:K105" si="31">IF(((C103="")*AND(C104="")),"",(C103-C104)*3)</f>
        <v>10983.599999999991</v>
      </c>
      <c r="D105" s="23">
        <f t="shared" si="31"/>
        <v>11248.620000000003</v>
      </c>
      <c r="E105" s="23">
        <f t="shared" si="31"/>
        <v>11149.77</v>
      </c>
      <c r="F105" s="23">
        <f t="shared" si="31"/>
        <v>11166.630000000008</v>
      </c>
      <c r="G105" s="23">
        <f t="shared" si="31"/>
        <v>10693.200000000004</v>
      </c>
      <c r="H105" s="23">
        <f t="shared" si="31"/>
        <v>11849.759999999995</v>
      </c>
      <c r="I105" s="23">
        <f t="shared" si="31"/>
        <v>11475.689999999999</v>
      </c>
      <c r="J105" s="23">
        <f t="shared" si="31"/>
        <v>10951.200000000004</v>
      </c>
      <c r="K105" s="23">
        <f t="shared" si="31"/>
        <v>10292.040000000001</v>
      </c>
      <c r="L105" s="103"/>
      <c r="M105" s="103"/>
      <c r="N105" s="103"/>
      <c r="O105" s="103"/>
      <c r="P105" s="103"/>
      <c r="Q105" s="104"/>
      <c r="R105" s="105"/>
      <c r="T105" s="97">
        <v>9000</v>
      </c>
      <c r="U105" s="77">
        <v>8090</v>
      </c>
      <c r="V105" s="77">
        <v>12070</v>
      </c>
    </row>
    <row r="106" spans="1:23">
      <c r="A106" s="106">
        <v>42870</v>
      </c>
      <c r="B106" s="20" t="s">
        <v>133</v>
      </c>
      <c r="C106" s="77">
        <v>29232.69</v>
      </c>
      <c r="D106" s="77">
        <v>28988.35</v>
      </c>
      <c r="E106" s="77">
        <v>29062.17</v>
      </c>
      <c r="F106" s="77">
        <v>29080.77</v>
      </c>
      <c r="G106" s="77">
        <v>29253.84</v>
      </c>
      <c r="H106" s="77">
        <v>29290.880000000001</v>
      </c>
      <c r="I106" s="77">
        <v>29047.32</v>
      </c>
      <c r="J106" s="77">
        <v>29039.42</v>
      </c>
      <c r="K106" s="77">
        <v>29219.3</v>
      </c>
      <c r="L106" s="94">
        <f>IF((K107=""),"",MAX(C108:K108))</f>
        <v>11971.890000000003</v>
      </c>
      <c r="M106" s="94">
        <f>IF(K107="","",MIN(C108:K108))</f>
        <v>10340.700000000004</v>
      </c>
      <c r="N106" s="94">
        <f>IF((K108=""),"",AVERAGE(C108:K108))</f>
        <v>11166.64</v>
      </c>
      <c r="O106" s="94">
        <f>IF((K107=""),"",STDEV(C108:K108))</f>
        <v>476.83841649974602</v>
      </c>
      <c r="P106" s="94">
        <f>IF((K107=""),"",O106/N106*100)</f>
        <v>4.2702049721290027</v>
      </c>
      <c r="Q106" s="95" t="str">
        <f>IF(K107="","",IF(P106&lt;15,IF(N106&gt;9000,IF(N106&lt;15600,"Pass","Fail"),"Fail"),"Fail"))</f>
        <v>Pass</v>
      </c>
      <c r="R106" s="96">
        <v>1159</v>
      </c>
      <c r="S106" s="109" t="s">
        <v>159</v>
      </c>
      <c r="T106" s="97">
        <v>9000</v>
      </c>
      <c r="U106" s="77">
        <v>8090</v>
      </c>
      <c r="V106" s="77">
        <v>12070</v>
      </c>
      <c r="W106" s="77">
        <v>6</v>
      </c>
    </row>
    <row r="107" spans="1:23">
      <c r="A107" s="107"/>
      <c r="B107" s="21" t="s">
        <v>135</v>
      </c>
      <c r="C107" s="77">
        <v>25671.14</v>
      </c>
      <c r="D107" s="77">
        <v>25309.41</v>
      </c>
      <c r="E107" s="77">
        <v>25285.9</v>
      </c>
      <c r="F107" s="77">
        <v>25261.74</v>
      </c>
      <c r="G107" s="77">
        <v>25509.5</v>
      </c>
      <c r="H107" s="77">
        <v>25843.98</v>
      </c>
      <c r="I107" s="77">
        <v>25387.06</v>
      </c>
      <c r="J107" s="77">
        <v>25217.42</v>
      </c>
      <c r="K107" s="77">
        <v>25228.67</v>
      </c>
      <c r="L107" s="99"/>
      <c r="M107" s="99"/>
      <c r="N107" s="99"/>
      <c r="O107" s="99"/>
      <c r="P107" s="99"/>
      <c r="Q107" s="100"/>
      <c r="R107" s="101"/>
      <c r="T107" s="97">
        <v>9000</v>
      </c>
      <c r="U107" s="77">
        <v>8090</v>
      </c>
      <c r="V107" s="77">
        <v>12070</v>
      </c>
    </row>
    <row r="108" spans="1:23" ht="15.75" thickBot="1">
      <c r="A108" s="108"/>
      <c r="B108" s="22" t="s">
        <v>136</v>
      </c>
      <c r="C108" s="23">
        <f t="shared" ref="C108:K108" si="32">IF(((C106="")*AND(C107="")),"",(C106-C107)*3)</f>
        <v>10684.649999999998</v>
      </c>
      <c r="D108" s="23">
        <f t="shared" si="32"/>
        <v>11036.819999999996</v>
      </c>
      <c r="E108" s="23">
        <f t="shared" si="32"/>
        <v>11328.80999999999</v>
      </c>
      <c r="F108" s="23">
        <f t="shared" si="32"/>
        <v>11457.089999999997</v>
      </c>
      <c r="G108" s="23">
        <f t="shared" si="32"/>
        <v>11233.02</v>
      </c>
      <c r="H108" s="23">
        <f t="shared" si="32"/>
        <v>10340.700000000004</v>
      </c>
      <c r="I108" s="23">
        <f t="shared" si="32"/>
        <v>10980.779999999995</v>
      </c>
      <c r="J108" s="23">
        <f t="shared" si="32"/>
        <v>11466</v>
      </c>
      <c r="K108" s="23">
        <f t="shared" si="32"/>
        <v>11971.890000000003</v>
      </c>
      <c r="L108" s="103"/>
      <c r="M108" s="103"/>
      <c r="N108" s="103"/>
      <c r="O108" s="103"/>
      <c r="P108" s="103"/>
      <c r="Q108" s="104"/>
      <c r="R108" s="105"/>
      <c r="T108" s="97">
        <v>9000</v>
      </c>
      <c r="U108" s="77">
        <v>8090</v>
      </c>
      <c r="V108" s="77">
        <v>12070</v>
      </c>
    </row>
    <row r="109" spans="1:23">
      <c r="A109" s="106">
        <v>42875</v>
      </c>
      <c r="B109" s="20" t="s">
        <v>133</v>
      </c>
      <c r="C109" s="77">
        <v>29208.25</v>
      </c>
      <c r="D109" s="77">
        <v>29055.55</v>
      </c>
      <c r="E109" s="77">
        <v>29093.47</v>
      </c>
      <c r="F109" s="77">
        <v>29048.560000000001</v>
      </c>
      <c r="G109" s="77">
        <v>29271.49</v>
      </c>
      <c r="H109" s="77">
        <v>29183.05</v>
      </c>
      <c r="I109" s="77">
        <v>29051.96</v>
      </c>
      <c r="J109" s="77">
        <v>29044.49</v>
      </c>
      <c r="K109" s="77">
        <v>29274.6</v>
      </c>
      <c r="L109" s="94">
        <f>IF((K110=""),"",MAX(C111:K111))</f>
        <v>11785.409999999993</v>
      </c>
      <c r="M109" s="94">
        <f>IF(K110="","",MIN(C111:K111))</f>
        <v>10097.790000000001</v>
      </c>
      <c r="N109" s="94">
        <f>IF((K111=""),"",AVERAGE(C111:K111))</f>
        <v>10986.376666666667</v>
      </c>
      <c r="O109" s="94">
        <f>IF((K110=""),"",STDEV(C111:K111))</f>
        <v>471.39709497412116</v>
      </c>
      <c r="P109" s="94">
        <f>IF((K110=""),"",O109/N109*100)</f>
        <v>4.2907421552764387</v>
      </c>
      <c r="Q109" s="95" t="str">
        <f>IF(K110="","",IF(P109&lt;15,IF(N109&gt;9000,IF(N109&lt;15600,"Pass","Fail"),"Fail"),"Fail"))</f>
        <v>Pass</v>
      </c>
      <c r="R109" s="96">
        <v>1428</v>
      </c>
      <c r="S109" s="109" t="s">
        <v>160</v>
      </c>
      <c r="T109" s="97">
        <v>9000</v>
      </c>
      <c r="U109" s="77">
        <v>8090</v>
      </c>
      <c r="V109" s="77">
        <v>12070</v>
      </c>
      <c r="W109" s="77">
        <v>6</v>
      </c>
    </row>
    <row r="110" spans="1:23">
      <c r="A110" s="107"/>
      <c r="B110" s="21" t="s">
        <v>135</v>
      </c>
      <c r="C110" s="77">
        <v>25668.38</v>
      </c>
      <c r="D110" s="77">
        <v>25372.47</v>
      </c>
      <c r="E110" s="77">
        <v>25408.6</v>
      </c>
      <c r="F110" s="77">
        <v>25338.84</v>
      </c>
      <c r="G110" s="77">
        <v>25627.69</v>
      </c>
      <c r="H110" s="77">
        <v>25817.119999999999</v>
      </c>
      <c r="I110" s="77">
        <v>25443.05</v>
      </c>
      <c r="J110" s="77">
        <v>25250.01</v>
      </c>
      <c r="K110" s="77">
        <v>25346.13</v>
      </c>
      <c r="L110" s="99"/>
      <c r="M110" s="99"/>
      <c r="N110" s="99"/>
      <c r="O110" s="99"/>
      <c r="P110" s="99"/>
      <c r="Q110" s="100"/>
      <c r="R110" s="101"/>
      <c r="T110" s="97">
        <v>9000</v>
      </c>
      <c r="U110" s="77">
        <v>8090</v>
      </c>
      <c r="V110" s="77">
        <v>12070</v>
      </c>
    </row>
    <row r="111" spans="1:23" ht="15.75" thickBot="1">
      <c r="A111" s="108"/>
      <c r="B111" s="22" t="s">
        <v>136</v>
      </c>
      <c r="C111" s="23">
        <f t="shared" ref="C111:K111" si="33">IF(((C109="")*AND(C110="")),"",(C109-C110)*3)</f>
        <v>10619.609999999997</v>
      </c>
      <c r="D111" s="23">
        <f t="shared" si="33"/>
        <v>11049.239999999994</v>
      </c>
      <c r="E111" s="23">
        <f t="shared" si="33"/>
        <v>11054.610000000008</v>
      </c>
      <c r="F111" s="23">
        <f t="shared" si="33"/>
        <v>11129.160000000003</v>
      </c>
      <c r="G111" s="23">
        <f t="shared" si="33"/>
        <v>10931.400000000009</v>
      </c>
      <c r="H111" s="23">
        <f t="shared" si="33"/>
        <v>10097.790000000001</v>
      </c>
      <c r="I111" s="23">
        <f t="shared" si="33"/>
        <v>10826.73</v>
      </c>
      <c r="J111" s="23">
        <f t="shared" si="33"/>
        <v>11383.44000000001</v>
      </c>
      <c r="K111" s="23">
        <f t="shared" si="33"/>
        <v>11785.409999999993</v>
      </c>
      <c r="L111" s="103"/>
      <c r="M111" s="103"/>
      <c r="N111" s="103"/>
      <c r="O111" s="103"/>
      <c r="P111" s="103"/>
      <c r="Q111" s="104"/>
      <c r="R111" s="105"/>
      <c r="T111" s="97">
        <v>9000</v>
      </c>
      <c r="U111" s="77">
        <v>8090</v>
      </c>
      <c r="V111" s="77">
        <v>12070</v>
      </c>
    </row>
    <row r="112" spans="1:23">
      <c r="A112" s="106">
        <v>42880</v>
      </c>
      <c r="B112" s="20" t="s">
        <v>133</v>
      </c>
      <c r="C112" s="77">
        <v>29116</v>
      </c>
      <c r="D112" s="77">
        <v>28971</v>
      </c>
      <c r="E112" s="77">
        <v>28968</v>
      </c>
      <c r="F112" s="77">
        <v>28980</v>
      </c>
      <c r="G112" s="77">
        <v>29193</v>
      </c>
      <c r="H112" s="77">
        <v>29146</v>
      </c>
      <c r="I112" s="77">
        <v>28970</v>
      </c>
      <c r="J112" s="77">
        <v>28964</v>
      </c>
      <c r="K112" s="77">
        <v>29208</v>
      </c>
      <c r="L112" s="94">
        <f>IF((K113=""),"",MAX(C114:K114))</f>
        <v>9903</v>
      </c>
      <c r="M112" s="94">
        <f>IF(K113="","",MIN(C114:K114))</f>
        <v>8208</v>
      </c>
      <c r="N112" s="94">
        <f>IF((K114=""),"",AVERAGE(C114:K114))</f>
        <v>8935.6666666666661</v>
      </c>
      <c r="O112" s="94">
        <f>IF((K113=""),"",STDEV(C114:K114))</f>
        <v>527.13020213226253</v>
      </c>
      <c r="P112" s="94">
        <f>IF((K113=""),"",O112/N112*100)</f>
        <v>5.8991703898115704</v>
      </c>
      <c r="Q112" s="95" t="str">
        <f>IF(K113="","",IF(P112&lt;15,IF(N112&gt;9000,IF(N112&lt;15600,"Pass","Fail"),"Fail"),"Fail"))</f>
        <v>Fail</v>
      </c>
      <c r="R112" s="96">
        <v>121</v>
      </c>
      <c r="T112" s="97">
        <v>9000</v>
      </c>
      <c r="U112" s="77">
        <v>8090</v>
      </c>
      <c r="V112" s="77">
        <v>12070</v>
      </c>
      <c r="W112" s="77">
        <v>6</v>
      </c>
    </row>
    <row r="113" spans="1:23">
      <c r="A113" s="107"/>
      <c r="B113" s="21" t="s">
        <v>135</v>
      </c>
      <c r="C113" s="77">
        <v>26325</v>
      </c>
      <c r="D113" s="77">
        <v>26037</v>
      </c>
      <c r="E113" s="77">
        <v>26039</v>
      </c>
      <c r="F113" s="77">
        <v>25931</v>
      </c>
      <c r="G113" s="77">
        <v>26138</v>
      </c>
      <c r="H113" s="77">
        <v>26410</v>
      </c>
      <c r="I113" s="77">
        <v>26091</v>
      </c>
      <c r="J113" s="77">
        <v>25831</v>
      </c>
      <c r="K113" s="77">
        <v>25907</v>
      </c>
      <c r="L113" s="99"/>
      <c r="M113" s="99"/>
      <c r="N113" s="99"/>
      <c r="O113" s="99"/>
      <c r="P113" s="99"/>
      <c r="Q113" s="100"/>
      <c r="R113" s="101"/>
      <c r="T113" s="97">
        <v>9000</v>
      </c>
      <c r="U113" s="77">
        <v>8090</v>
      </c>
      <c r="V113" s="77">
        <v>12070</v>
      </c>
    </row>
    <row r="114" spans="1:23" ht="15.75" thickBot="1">
      <c r="A114" s="108"/>
      <c r="B114" s="22" t="s">
        <v>136</v>
      </c>
      <c r="C114" s="23">
        <f t="shared" ref="C114:K114" si="34">IF(((C112="")*AND(C113="")),"",(C112-C113)*3)</f>
        <v>8373</v>
      </c>
      <c r="D114" s="23">
        <f t="shared" si="34"/>
        <v>8802</v>
      </c>
      <c r="E114" s="23">
        <f t="shared" si="34"/>
        <v>8787</v>
      </c>
      <c r="F114" s="23">
        <f t="shared" si="34"/>
        <v>9147</v>
      </c>
      <c r="G114" s="23">
        <f t="shared" si="34"/>
        <v>9165</v>
      </c>
      <c r="H114" s="23">
        <f t="shared" si="34"/>
        <v>8208</v>
      </c>
      <c r="I114" s="23">
        <f t="shared" si="34"/>
        <v>8637</v>
      </c>
      <c r="J114" s="23">
        <f t="shared" si="34"/>
        <v>9399</v>
      </c>
      <c r="K114" s="23">
        <f t="shared" si="34"/>
        <v>9903</v>
      </c>
      <c r="L114" s="103"/>
      <c r="M114" s="103"/>
      <c r="N114" s="103"/>
      <c r="O114" s="103"/>
      <c r="P114" s="103"/>
      <c r="Q114" s="104"/>
      <c r="R114" s="105"/>
      <c r="T114" s="97">
        <v>9000</v>
      </c>
      <c r="U114" s="77">
        <v>8090</v>
      </c>
      <c r="V114" s="77">
        <v>12070</v>
      </c>
    </row>
    <row r="115" spans="1:23">
      <c r="A115" s="106">
        <v>42875</v>
      </c>
      <c r="B115" s="20" t="s">
        <v>133</v>
      </c>
      <c r="C115" s="77">
        <v>29182</v>
      </c>
      <c r="D115" s="77">
        <v>28995</v>
      </c>
      <c r="E115" s="77">
        <v>29044</v>
      </c>
      <c r="F115" s="77">
        <v>28988</v>
      </c>
      <c r="G115" s="77">
        <v>29185</v>
      </c>
      <c r="H115" s="77">
        <v>29178</v>
      </c>
      <c r="I115" s="77">
        <v>29002</v>
      </c>
      <c r="J115" s="77">
        <v>29892</v>
      </c>
      <c r="K115" s="77">
        <v>29180</v>
      </c>
      <c r="L115" s="94">
        <f>IF((K116=""),"",MAX(C117:K117))</f>
        <v>13011</v>
      </c>
      <c r="M115" s="94">
        <f>IF(K116="","",MIN(C117:K117))</f>
        <v>9396</v>
      </c>
      <c r="N115" s="94">
        <f>IF((K117=""),"",AVERAGE(C117:K117))</f>
        <v>10302.333333333334</v>
      </c>
      <c r="O115" s="94">
        <f>IF((K116=""),"",STDEV(C117:K117))</f>
        <v>1074.8287072831652</v>
      </c>
      <c r="P115" s="94">
        <f>IF((K116=""),"",O115/N115*100)</f>
        <v>10.432866735203984</v>
      </c>
      <c r="Q115" s="95" t="str">
        <f>IF(K116="","",IF(P115&lt;15,IF(N115&gt;9000,IF(N115&lt;15600,"Pass","Fail"),"Fail"),"Fail"))</f>
        <v>Pass</v>
      </c>
      <c r="R115" s="96"/>
      <c r="T115" s="97">
        <v>9000</v>
      </c>
      <c r="U115" s="77">
        <v>8090</v>
      </c>
      <c r="V115" s="77">
        <v>12070</v>
      </c>
      <c r="W115" s="77">
        <v>6</v>
      </c>
    </row>
    <row r="116" spans="1:23">
      <c r="A116" s="107"/>
      <c r="B116" s="21" t="s">
        <v>135</v>
      </c>
      <c r="C116" s="77">
        <v>25982</v>
      </c>
      <c r="D116" s="77">
        <v>25694</v>
      </c>
      <c r="E116" s="77">
        <v>25682</v>
      </c>
      <c r="F116" s="77">
        <v>25605</v>
      </c>
      <c r="G116" s="77">
        <v>25841</v>
      </c>
      <c r="H116" s="77">
        <v>26046</v>
      </c>
      <c r="I116" s="77">
        <v>25704</v>
      </c>
      <c r="J116" s="77">
        <v>25555</v>
      </c>
      <c r="K116" s="77">
        <v>25630</v>
      </c>
      <c r="L116" s="99"/>
      <c r="M116" s="99"/>
      <c r="N116" s="99"/>
      <c r="O116" s="99"/>
      <c r="P116" s="99"/>
      <c r="Q116" s="100"/>
      <c r="R116" s="101"/>
      <c r="T116" s="97">
        <v>9000</v>
      </c>
      <c r="U116" s="77">
        <v>8090</v>
      </c>
      <c r="V116" s="77">
        <v>12070</v>
      </c>
    </row>
    <row r="117" spans="1:23" ht="15.75" thickBot="1">
      <c r="A117" s="108"/>
      <c r="B117" s="22" t="s">
        <v>136</v>
      </c>
      <c r="C117" s="23">
        <f t="shared" ref="C117:K117" si="35">IF(((C115="")*AND(C116="")),"",(C115-C116)*3)</f>
        <v>9600</v>
      </c>
      <c r="D117" s="23">
        <f t="shared" si="35"/>
        <v>9903</v>
      </c>
      <c r="E117" s="23">
        <f t="shared" si="35"/>
        <v>10086</v>
      </c>
      <c r="F117" s="23">
        <f t="shared" si="35"/>
        <v>10149</v>
      </c>
      <c r="G117" s="23">
        <f t="shared" si="35"/>
        <v>10032</v>
      </c>
      <c r="H117" s="23">
        <f t="shared" si="35"/>
        <v>9396</v>
      </c>
      <c r="I117" s="23">
        <f t="shared" si="35"/>
        <v>9894</v>
      </c>
      <c r="J117" s="23">
        <f t="shared" si="35"/>
        <v>13011</v>
      </c>
      <c r="K117" s="23">
        <f t="shared" si="35"/>
        <v>10650</v>
      </c>
      <c r="L117" s="103"/>
      <c r="M117" s="103"/>
      <c r="N117" s="103"/>
      <c r="O117" s="103"/>
      <c r="P117" s="103"/>
      <c r="Q117" s="104"/>
      <c r="R117" s="105"/>
      <c r="T117" s="97">
        <v>9000</v>
      </c>
      <c r="U117" s="77">
        <v>8090</v>
      </c>
      <c r="V117" s="77">
        <v>12070</v>
      </c>
    </row>
    <row r="118" spans="1:23">
      <c r="A118" s="106">
        <v>42886</v>
      </c>
      <c r="B118" s="20" t="s">
        <v>133</v>
      </c>
      <c r="L118" s="94">
        <v>13021</v>
      </c>
      <c r="M118" s="94">
        <v>9563</v>
      </c>
      <c r="N118" s="94">
        <v>10328.709999999999</v>
      </c>
      <c r="O118" s="94" t="str">
        <f>IF((K119=""),"",STDEV(C120:K120))</f>
        <v/>
      </c>
      <c r="P118" s="94" t="str">
        <f>IF((K119=""),"",O118/N118*100)</f>
        <v/>
      </c>
      <c r="Q118" s="95" t="s">
        <v>161</v>
      </c>
      <c r="R118" s="96"/>
      <c r="T118" s="97">
        <v>9000</v>
      </c>
      <c r="U118" s="77">
        <v>8090</v>
      </c>
      <c r="V118" s="77">
        <v>12070</v>
      </c>
      <c r="W118" s="77">
        <v>6</v>
      </c>
    </row>
    <row r="119" spans="1:23">
      <c r="A119" s="107"/>
      <c r="B119" s="21" t="s">
        <v>135</v>
      </c>
      <c r="L119" s="99"/>
      <c r="M119" s="99"/>
      <c r="N119" s="99"/>
      <c r="O119" s="99"/>
      <c r="P119" s="99"/>
      <c r="Q119" s="100"/>
      <c r="R119" s="101"/>
      <c r="T119" s="97">
        <v>9000</v>
      </c>
      <c r="U119" s="77">
        <v>8090</v>
      </c>
      <c r="V119" s="77">
        <v>12070</v>
      </c>
    </row>
    <row r="120" spans="1:23" ht="15.75" thickBot="1">
      <c r="A120" s="108"/>
      <c r="B120" s="22" t="s">
        <v>136</v>
      </c>
      <c r="C120" s="23" t="str">
        <f t="shared" ref="C120:K120" si="36">IF(((C118="")*AND(C119="")),"",(C118-C119)*3)</f>
        <v/>
      </c>
      <c r="D120" s="23" t="str">
        <f t="shared" si="36"/>
        <v/>
      </c>
      <c r="E120" s="23" t="str">
        <f t="shared" si="36"/>
        <v/>
      </c>
      <c r="F120" s="23" t="str">
        <f t="shared" si="36"/>
        <v/>
      </c>
      <c r="G120" s="23" t="str">
        <f t="shared" si="36"/>
        <v/>
      </c>
      <c r="H120" s="23" t="str">
        <f t="shared" si="36"/>
        <v/>
      </c>
      <c r="I120" s="23" t="str">
        <f t="shared" si="36"/>
        <v/>
      </c>
      <c r="J120" s="23" t="str">
        <f t="shared" si="36"/>
        <v/>
      </c>
      <c r="K120" s="23" t="str">
        <f t="shared" si="36"/>
        <v/>
      </c>
      <c r="L120" s="103"/>
      <c r="M120" s="103"/>
      <c r="N120" s="103"/>
      <c r="O120" s="103"/>
      <c r="P120" s="103"/>
      <c r="Q120" s="104"/>
      <c r="R120" s="105"/>
      <c r="T120" s="97">
        <v>9000</v>
      </c>
      <c r="U120" s="77">
        <v>8090</v>
      </c>
      <c r="V120" s="77">
        <v>12070</v>
      </c>
    </row>
    <row r="121" spans="1:23">
      <c r="A121" s="106">
        <v>42887</v>
      </c>
      <c r="B121" s="20" t="s">
        <v>133</v>
      </c>
      <c r="C121" s="77">
        <v>29118.15</v>
      </c>
      <c r="D121" s="77">
        <v>28948.59</v>
      </c>
      <c r="E121" s="77">
        <v>28993.37</v>
      </c>
      <c r="F121" s="77">
        <v>28951.85</v>
      </c>
      <c r="G121" s="77">
        <v>29137.82</v>
      </c>
      <c r="H121" s="77">
        <v>29120</v>
      </c>
      <c r="I121" s="77">
        <v>28938.03</v>
      </c>
      <c r="J121" s="77">
        <v>28940.83</v>
      </c>
      <c r="K121" s="77">
        <v>29137.21</v>
      </c>
      <c r="L121" s="94">
        <f>IF((K122=""),"",MAX(C123:K123))</f>
        <v>10242.48</v>
      </c>
      <c r="M121" s="94">
        <f>IF(K122="","",MIN(C123:K123))</f>
        <v>8570.3700000000026</v>
      </c>
      <c r="N121" s="94">
        <f>IF((K123=""),"",AVERAGE(C123:K123))</f>
        <v>9368.5833333333339</v>
      </c>
      <c r="O121" s="94">
        <f>IF((K122=""),"",STDEV(C123:K123))</f>
        <v>515.540718081519</v>
      </c>
      <c r="P121" s="94">
        <f>IF((K122=""),"",O121/N121*100)</f>
        <v>5.5028673998899045</v>
      </c>
      <c r="Q121" s="95" t="str">
        <f>IF(K122="","",IF(P121&lt;15,IF(N121&gt;9000,IF(N121&lt;15600,"Pass","Fail"),"Fail"),"Fail"))</f>
        <v>Pass</v>
      </c>
      <c r="R121" s="96">
        <v>1159</v>
      </c>
      <c r="S121" s="77" t="s">
        <v>162</v>
      </c>
      <c r="T121" s="97">
        <v>9000</v>
      </c>
      <c r="U121" s="77">
        <v>8090</v>
      </c>
      <c r="V121" s="77">
        <v>12070</v>
      </c>
      <c r="W121" s="77">
        <v>6</v>
      </c>
    </row>
    <row r="122" spans="1:23">
      <c r="A122" s="107"/>
      <c r="B122" s="21" t="s">
        <v>135</v>
      </c>
      <c r="C122" s="77">
        <v>26177.46</v>
      </c>
      <c r="D122" s="77">
        <v>25872.68</v>
      </c>
      <c r="E122" s="77">
        <v>25899.54</v>
      </c>
      <c r="F122" s="77">
        <v>25738.22</v>
      </c>
      <c r="G122" s="77">
        <v>25913.279999999999</v>
      </c>
      <c r="H122" s="77">
        <v>26263.21</v>
      </c>
      <c r="I122" s="77">
        <v>25906.67</v>
      </c>
      <c r="J122" s="77">
        <v>25685.99</v>
      </c>
      <c r="K122" s="77">
        <v>25723.05</v>
      </c>
      <c r="L122" s="99"/>
      <c r="M122" s="99"/>
      <c r="N122" s="99"/>
      <c r="O122" s="99"/>
      <c r="P122" s="99"/>
      <c r="Q122" s="100"/>
      <c r="R122" s="101"/>
      <c r="T122" s="97">
        <v>9000</v>
      </c>
      <c r="U122" s="77">
        <v>8090</v>
      </c>
      <c r="V122" s="77">
        <v>12070</v>
      </c>
    </row>
    <row r="123" spans="1:23" ht="15.75" thickBot="1">
      <c r="A123" s="108"/>
      <c r="B123" s="22" t="s">
        <v>136</v>
      </c>
      <c r="C123" s="23">
        <f t="shared" ref="C123:K123" si="37">IF(((C121="")*AND(C122="")),"",(C121-C122)*3)</f>
        <v>8822.070000000007</v>
      </c>
      <c r="D123" s="23">
        <f t="shared" si="37"/>
        <v>9227.73</v>
      </c>
      <c r="E123" s="23">
        <f t="shared" si="37"/>
        <v>9281.4899999999943</v>
      </c>
      <c r="F123" s="23">
        <f t="shared" si="37"/>
        <v>9640.8899999999921</v>
      </c>
      <c r="G123" s="23">
        <f t="shared" si="37"/>
        <v>9673.6200000000026</v>
      </c>
      <c r="H123" s="23">
        <f t="shared" si="37"/>
        <v>8570.3700000000026</v>
      </c>
      <c r="I123" s="23">
        <f t="shared" si="37"/>
        <v>9094.0800000000017</v>
      </c>
      <c r="J123" s="23">
        <f t="shared" si="37"/>
        <v>9764.52</v>
      </c>
      <c r="K123" s="23">
        <f t="shared" si="37"/>
        <v>10242.48</v>
      </c>
      <c r="L123" s="103"/>
      <c r="M123" s="103"/>
      <c r="N123" s="103"/>
      <c r="O123" s="103"/>
      <c r="P123" s="103"/>
      <c r="Q123" s="104"/>
      <c r="R123" s="105"/>
      <c r="T123" s="97">
        <v>9000</v>
      </c>
      <c r="U123" s="77">
        <v>8090</v>
      </c>
      <c r="V123" s="77">
        <v>12070</v>
      </c>
    </row>
    <row r="124" spans="1:23">
      <c r="A124" s="106">
        <v>42891</v>
      </c>
      <c r="B124" s="20" t="s">
        <v>133</v>
      </c>
      <c r="C124" s="77">
        <v>29110</v>
      </c>
      <c r="D124" s="77">
        <v>28905</v>
      </c>
      <c r="E124" s="77">
        <v>28888</v>
      </c>
      <c r="F124" s="77">
        <v>28879</v>
      </c>
      <c r="G124" s="77">
        <v>29127</v>
      </c>
      <c r="H124" s="77">
        <v>29051</v>
      </c>
      <c r="I124" s="77">
        <v>28892</v>
      </c>
      <c r="J124" s="77">
        <v>28891</v>
      </c>
      <c r="K124" s="77">
        <v>29131</v>
      </c>
      <c r="L124" s="94">
        <f>IF((K125=""),"",MAX(C126:K126))</f>
        <v>10641</v>
      </c>
      <c r="M124" s="94">
        <f>IF(K125="","",MIN(C126:K126))</f>
        <v>8976</v>
      </c>
      <c r="N124" s="94">
        <f>IF((K126=""),"",AVERAGE(C126:K126))</f>
        <v>9821.3333333333339</v>
      </c>
      <c r="O124" s="94">
        <f>IF((K125=""),"",STDEV(C126:K126))</f>
        <v>479.08454368722857</v>
      </c>
      <c r="P124" s="94">
        <f>IF((K125=""),"",O124/N124*100)</f>
        <v>4.8779990193513632</v>
      </c>
      <c r="Q124" s="95" t="str">
        <f>IF(K125="","",IF(P124&lt;15,IF(N124&gt;9000,IF(N124&lt;15600,"Pass","Fail"),"Fail"),"Fail"))</f>
        <v>Pass</v>
      </c>
      <c r="R124" s="96">
        <v>1335</v>
      </c>
      <c r="T124" s="97">
        <v>9000</v>
      </c>
      <c r="U124" s="77">
        <v>8090</v>
      </c>
      <c r="V124" s="77">
        <v>12070</v>
      </c>
      <c r="W124" s="77">
        <v>6</v>
      </c>
    </row>
    <row r="125" spans="1:23">
      <c r="A125" s="107"/>
      <c r="B125" s="21" t="s">
        <v>135</v>
      </c>
      <c r="C125" s="77">
        <v>25949</v>
      </c>
      <c r="D125" s="77">
        <v>25652</v>
      </c>
      <c r="E125" s="77">
        <v>25657</v>
      </c>
      <c r="F125" s="77">
        <v>25544</v>
      </c>
      <c r="G125" s="77">
        <v>25748</v>
      </c>
      <c r="H125" s="77">
        <v>26059</v>
      </c>
      <c r="I125" s="77">
        <v>25709</v>
      </c>
      <c r="J125" s="77">
        <v>25508</v>
      </c>
      <c r="K125" s="77">
        <v>25584</v>
      </c>
      <c r="L125" s="99"/>
      <c r="M125" s="99"/>
      <c r="N125" s="99"/>
      <c r="O125" s="99"/>
      <c r="P125" s="99"/>
      <c r="Q125" s="100"/>
      <c r="R125" s="101"/>
      <c r="T125" s="97">
        <v>9000</v>
      </c>
      <c r="U125" s="77">
        <v>8090</v>
      </c>
      <c r="V125" s="77">
        <v>12070</v>
      </c>
    </row>
    <row r="126" spans="1:23" ht="15.75" thickBot="1">
      <c r="A126" s="108"/>
      <c r="B126" s="22" t="s">
        <v>136</v>
      </c>
      <c r="C126" s="23">
        <f t="shared" ref="C126:K126" si="38">IF(((C124="")*AND(C125="")),"",(C124-C125)*3)</f>
        <v>9483</v>
      </c>
      <c r="D126" s="23">
        <f t="shared" si="38"/>
        <v>9759</v>
      </c>
      <c r="E126" s="23">
        <f t="shared" si="38"/>
        <v>9693</v>
      </c>
      <c r="F126" s="23">
        <f t="shared" si="38"/>
        <v>10005</v>
      </c>
      <c r="G126" s="23">
        <f t="shared" si="38"/>
        <v>10137</v>
      </c>
      <c r="H126" s="23">
        <f t="shared" si="38"/>
        <v>8976</v>
      </c>
      <c r="I126" s="23">
        <f t="shared" si="38"/>
        <v>9549</v>
      </c>
      <c r="J126" s="23">
        <f t="shared" si="38"/>
        <v>10149</v>
      </c>
      <c r="K126" s="23">
        <f t="shared" si="38"/>
        <v>10641</v>
      </c>
      <c r="L126" s="103"/>
      <c r="M126" s="103"/>
      <c r="N126" s="103"/>
      <c r="O126" s="103"/>
      <c r="P126" s="103"/>
      <c r="Q126" s="104"/>
      <c r="R126" s="105"/>
      <c r="T126" s="97">
        <v>9000</v>
      </c>
      <c r="U126" s="77">
        <v>8090</v>
      </c>
      <c r="V126" s="77">
        <v>12070</v>
      </c>
    </row>
    <row r="127" spans="1:23">
      <c r="A127" s="106">
        <v>42895</v>
      </c>
      <c r="B127" s="20" t="s">
        <v>133</v>
      </c>
      <c r="C127" s="77">
        <v>29085</v>
      </c>
      <c r="D127" s="77">
        <v>28902</v>
      </c>
      <c r="E127" s="77">
        <v>28890</v>
      </c>
      <c r="F127" s="77">
        <v>28889</v>
      </c>
      <c r="G127" s="77">
        <v>29111</v>
      </c>
      <c r="H127" s="77">
        <v>29083</v>
      </c>
      <c r="I127" s="77">
        <v>28887</v>
      </c>
      <c r="J127" s="77">
        <v>28890</v>
      </c>
      <c r="K127" s="77">
        <v>29120</v>
      </c>
      <c r="L127" s="94">
        <f>IF((K128=""),"",MAX(C129:K129))</f>
        <v>9942</v>
      </c>
      <c r="M127" s="94">
        <f>IF(K128="","",MIN(C129:K129))</f>
        <v>8442</v>
      </c>
      <c r="N127" s="94">
        <f>IF((K129=""),"",AVERAGE(C129:K129))</f>
        <v>9148.6666666666661</v>
      </c>
      <c r="O127" s="94">
        <f>IF((K128=""),"",STDEV(C129:K129))</f>
        <v>450.47502705477473</v>
      </c>
      <c r="P127" s="94">
        <f>IF((K128=""),"",O127/N127*100)</f>
        <v>4.9239418536920656</v>
      </c>
      <c r="Q127" s="95" t="str">
        <f>IF(K128="","",IF(P127&lt;15,IF(N127&gt;9000,IF(N127&lt;15600,"Pass","Fail"),"Fail"),"Fail"))</f>
        <v>Pass</v>
      </c>
      <c r="R127" s="96">
        <v>121</v>
      </c>
      <c r="T127" s="97">
        <v>9000</v>
      </c>
      <c r="U127" s="77">
        <v>8090</v>
      </c>
      <c r="V127" s="77">
        <v>12070</v>
      </c>
      <c r="W127" s="77">
        <v>6</v>
      </c>
    </row>
    <row r="128" spans="1:23">
      <c r="A128" s="107"/>
      <c r="B128" s="21" t="s">
        <v>135</v>
      </c>
      <c r="C128" s="77">
        <v>26159</v>
      </c>
      <c r="D128" s="77">
        <v>25884</v>
      </c>
      <c r="E128" s="77">
        <v>25891</v>
      </c>
      <c r="F128" s="77">
        <v>25773</v>
      </c>
      <c r="G128" s="77">
        <v>25967</v>
      </c>
      <c r="H128" s="77">
        <v>26269</v>
      </c>
      <c r="I128" s="77">
        <v>25936</v>
      </c>
      <c r="J128" s="77">
        <v>25726</v>
      </c>
      <c r="K128" s="77">
        <v>25806</v>
      </c>
      <c r="L128" s="99"/>
      <c r="M128" s="99"/>
      <c r="N128" s="99"/>
      <c r="O128" s="99"/>
      <c r="P128" s="99"/>
      <c r="Q128" s="100"/>
      <c r="R128" s="101"/>
      <c r="T128" s="97">
        <v>9000</v>
      </c>
      <c r="U128" s="77">
        <v>8090</v>
      </c>
      <c r="V128" s="77">
        <v>12070</v>
      </c>
    </row>
    <row r="129" spans="1:23" ht="15.75" thickBot="1">
      <c r="A129" s="108"/>
      <c r="B129" s="22" t="s">
        <v>136</v>
      </c>
      <c r="C129" s="23">
        <f t="shared" ref="C129:K129" si="39">IF(((C127="")*AND(C128="")),"",(C127-C128)*3)</f>
        <v>8778</v>
      </c>
      <c r="D129" s="23">
        <f t="shared" si="39"/>
        <v>9054</v>
      </c>
      <c r="E129" s="23">
        <f t="shared" si="39"/>
        <v>8997</v>
      </c>
      <c r="F129" s="23">
        <f t="shared" si="39"/>
        <v>9348</v>
      </c>
      <c r="G129" s="23">
        <f t="shared" si="39"/>
        <v>9432</v>
      </c>
      <c r="H129" s="23">
        <f t="shared" si="39"/>
        <v>8442</v>
      </c>
      <c r="I129" s="23">
        <f t="shared" si="39"/>
        <v>8853</v>
      </c>
      <c r="J129" s="23">
        <f t="shared" si="39"/>
        <v>9492</v>
      </c>
      <c r="K129" s="23">
        <f t="shared" si="39"/>
        <v>9942</v>
      </c>
      <c r="L129" s="103"/>
      <c r="M129" s="103"/>
      <c r="N129" s="103"/>
      <c r="O129" s="103"/>
      <c r="P129" s="103"/>
      <c r="Q129" s="104"/>
      <c r="R129" s="105"/>
      <c r="T129" s="97">
        <v>9000</v>
      </c>
      <c r="U129" s="77">
        <v>8090</v>
      </c>
      <c r="V129" s="77">
        <v>12070</v>
      </c>
    </row>
    <row r="130" spans="1:23">
      <c r="A130" s="106">
        <v>42905</v>
      </c>
      <c r="B130" s="20" t="s">
        <v>133</v>
      </c>
      <c r="C130" s="77">
        <v>29384</v>
      </c>
      <c r="D130" s="77">
        <v>29218</v>
      </c>
      <c r="E130" s="77">
        <v>29260</v>
      </c>
      <c r="F130" s="77">
        <v>29214</v>
      </c>
      <c r="G130" s="77">
        <v>29410</v>
      </c>
      <c r="H130" s="77">
        <v>29370</v>
      </c>
      <c r="I130" s="77">
        <v>29196</v>
      </c>
      <c r="J130" s="77">
        <v>29224</v>
      </c>
      <c r="K130" s="77">
        <v>29485</v>
      </c>
      <c r="L130" s="94">
        <f>IF((K131=""),"",MAX(C132:K132))</f>
        <v>12543</v>
      </c>
      <c r="M130" s="94">
        <f>IF(K131="","",MIN(C132:K132))</f>
        <v>11067</v>
      </c>
      <c r="N130" s="94">
        <f>IF((K132=""),"",AVERAGE(C132:K132))</f>
        <v>11759.333333333334</v>
      </c>
      <c r="O130" s="94">
        <f>IF((K131=""),"",STDEV(C132:K132))</f>
        <v>474.20828756992427</v>
      </c>
      <c r="P130" s="94">
        <f>IF((K131=""),"",O130/N130*100)</f>
        <v>4.0326120038261033</v>
      </c>
      <c r="Q130" s="95" t="str">
        <f>IF(K131="","",IF(P130&lt;15,IF(N130&gt;9000,IF(N130&lt;15600,"Pass","Fail"),"Fail"),"Fail"))</f>
        <v>Pass</v>
      </c>
      <c r="R130" s="96">
        <v>1159</v>
      </c>
      <c r="S130" s="77" t="s">
        <v>163</v>
      </c>
      <c r="T130" s="97">
        <v>9000</v>
      </c>
      <c r="U130" s="77">
        <v>8090</v>
      </c>
      <c r="V130" s="77">
        <v>12070</v>
      </c>
      <c r="W130" s="77">
        <v>6</v>
      </c>
    </row>
    <row r="131" spans="1:23">
      <c r="A131" s="107"/>
      <c r="B131" s="21" t="s">
        <v>135</v>
      </c>
      <c r="C131" s="77">
        <v>25695</v>
      </c>
      <c r="D131" s="77">
        <v>25348</v>
      </c>
      <c r="E131" s="77">
        <v>25391</v>
      </c>
      <c r="F131" s="77">
        <v>25190</v>
      </c>
      <c r="G131" s="77">
        <v>25392</v>
      </c>
      <c r="H131" s="77">
        <v>25642</v>
      </c>
      <c r="I131" s="77">
        <v>25331</v>
      </c>
      <c r="J131" s="77">
        <v>25190</v>
      </c>
      <c r="K131" s="77">
        <v>25304</v>
      </c>
      <c r="L131" s="99"/>
      <c r="M131" s="99"/>
      <c r="N131" s="99"/>
      <c r="O131" s="99"/>
      <c r="P131" s="99"/>
      <c r="Q131" s="100"/>
      <c r="R131" s="101"/>
      <c r="S131" s="77" t="s">
        <v>164</v>
      </c>
      <c r="T131" s="97">
        <v>9000</v>
      </c>
      <c r="U131" s="77">
        <v>8090</v>
      </c>
      <c r="V131" s="77">
        <v>12070</v>
      </c>
    </row>
    <row r="132" spans="1:23" ht="15.75" thickBot="1">
      <c r="A132" s="108"/>
      <c r="B132" s="22" t="s">
        <v>136</v>
      </c>
      <c r="C132" s="23">
        <f t="shared" ref="C132:K132" si="40">IF(((C130="")*AND(C131="")),"",(C130-C131)*3)</f>
        <v>11067</v>
      </c>
      <c r="D132" s="23">
        <f t="shared" si="40"/>
        <v>11610</v>
      </c>
      <c r="E132" s="23">
        <f t="shared" si="40"/>
        <v>11607</v>
      </c>
      <c r="F132" s="23">
        <f t="shared" si="40"/>
        <v>12072</v>
      </c>
      <c r="G132" s="23">
        <f t="shared" si="40"/>
        <v>12054</v>
      </c>
      <c r="H132" s="23">
        <f t="shared" si="40"/>
        <v>11184</v>
      </c>
      <c r="I132" s="23">
        <f t="shared" si="40"/>
        <v>11595</v>
      </c>
      <c r="J132" s="23">
        <f t="shared" si="40"/>
        <v>12102</v>
      </c>
      <c r="K132" s="23">
        <f t="shared" si="40"/>
        <v>12543</v>
      </c>
      <c r="L132" s="103"/>
      <c r="M132" s="103"/>
      <c r="N132" s="103"/>
      <c r="O132" s="103"/>
      <c r="P132" s="103"/>
      <c r="Q132" s="104"/>
      <c r="R132" s="105"/>
      <c r="T132" s="97">
        <v>9000</v>
      </c>
      <c r="U132" s="77">
        <v>8090</v>
      </c>
      <c r="V132" s="77">
        <v>12070</v>
      </c>
    </row>
    <row r="133" spans="1:23">
      <c r="A133" s="106">
        <v>42909</v>
      </c>
      <c r="B133" s="20" t="s">
        <v>133</v>
      </c>
      <c r="C133" s="77">
        <v>29334</v>
      </c>
      <c r="D133" s="77">
        <v>29135</v>
      </c>
      <c r="E133" s="77">
        <v>29126</v>
      </c>
      <c r="F133" s="77">
        <v>29115</v>
      </c>
      <c r="G133" s="77">
        <v>29327</v>
      </c>
      <c r="H133" s="77">
        <v>29285</v>
      </c>
      <c r="I133" s="77">
        <v>29112</v>
      </c>
      <c r="J133" s="77">
        <v>29126</v>
      </c>
      <c r="K133" s="77">
        <v>29361</v>
      </c>
      <c r="L133" s="94">
        <f>IF((K134=""),"",MAX(C135:K135))</f>
        <v>11430</v>
      </c>
      <c r="M133" s="94">
        <f>IF(K134="","",MIN(C135:K135))</f>
        <v>9378</v>
      </c>
      <c r="N133" s="94">
        <f>IF((K135=""),"",AVERAGE(C135:K135))</f>
        <v>10369.666666666666</v>
      </c>
      <c r="O133" s="94">
        <f>IF((K134=""),"",STDEV(C135:K135))</f>
        <v>575.86543567052195</v>
      </c>
      <c r="P133" s="94">
        <f>IF((K134=""),"",O133/N133*100)</f>
        <v>5.5533649651598118</v>
      </c>
      <c r="Q133" s="95" t="str">
        <f>IF(K134="","",IF(P133&lt;15,IF(N133&gt;9000,IF(N133&lt;15600,"Pass","Fail"),"Fail"),"Fail"))</f>
        <v>Pass</v>
      </c>
      <c r="R133" s="96">
        <v>1159</v>
      </c>
      <c r="S133" s="77" t="s">
        <v>165</v>
      </c>
      <c r="T133" s="97">
        <v>9000</v>
      </c>
      <c r="U133" s="77">
        <v>8090</v>
      </c>
      <c r="V133" s="77">
        <v>12070</v>
      </c>
      <c r="W133" s="77">
        <v>6</v>
      </c>
    </row>
    <row r="134" spans="1:23">
      <c r="A134" s="107"/>
      <c r="B134" s="21" t="s">
        <v>135</v>
      </c>
      <c r="C134" s="77">
        <v>26010</v>
      </c>
      <c r="D134" s="77">
        <v>25693</v>
      </c>
      <c r="E134" s="77">
        <v>25698</v>
      </c>
      <c r="F134" s="77">
        <v>25594</v>
      </c>
      <c r="G134" s="77">
        <v>25825</v>
      </c>
      <c r="H134" s="77">
        <v>26159</v>
      </c>
      <c r="I134" s="77">
        <v>25766</v>
      </c>
      <c r="J134" s="77">
        <v>25516</v>
      </c>
      <c r="K134" s="77">
        <v>25551</v>
      </c>
      <c r="L134" s="99"/>
      <c r="M134" s="99"/>
      <c r="N134" s="99"/>
      <c r="O134" s="99"/>
      <c r="P134" s="99"/>
      <c r="Q134" s="100"/>
      <c r="R134" s="101"/>
      <c r="T134" s="97">
        <v>9000</v>
      </c>
      <c r="U134" s="77">
        <v>8090</v>
      </c>
      <c r="V134" s="77">
        <v>12070</v>
      </c>
    </row>
    <row r="135" spans="1:23" ht="15.75" thickBot="1">
      <c r="A135" s="108"/>
      <c r="B135" s="22" t="s">
        <v>136</v>
      </c>
      <c r="C135" s="23">
        <f t="shared" ref="C135:K135" si="41">IF(((C133="")*AND(C134="")),"",(C133-C134)*3)</f>
        <v>9972</v>
      </c>
      <c r="D135" s="23">
        <f t="shared" si="41"/>
        <v>10326</v>
      </c>
      <c r="E135" s="23">
        <f t="shared" si="41"/>
        <v>10284</v>
      </c>
      <c r="F135" s="23">
        <f t="shared" si="41"/>
        <v>10563</v>
      </c>
      <c r="G135" s="23">
        <f t="shared" si="41"/>
        <v>10506</v>
      </c>
      <c r="H135" s="23">
        <f t="shared" si="41"/>
        <v>9378</v>
      </c>
      <c r="I135" s="23">
        <f t="shared" si="41"/>
        <v>10038</v>
      </c>
      <c r="J135" s="23">
        <f t="shared" si="41"/>
        <v>10830</v>
      </c>
      <c r="K135" s="23">
        <f t="shared" si="41"/>
        <v>11430</v>
      </c>
      <c r="L135" s="103"/>
      <c r="M135" s="103"/>
      <c r="N135" s="103"/>
      <c r="O135" s="103"/>
      <c r="P135" s="103"/>
      <c r="Q135" s="104"/>
      <c r="R135" s="105"/>
      <c r="T135" s="97">
        <v>9000</v>
      </c>
      <c r="U135" s="77">
        <v>8090</v>
      </c>
      <c r="V135" s="77">
        <v>12070</v>
      </c>
    </row>
    <row r="136" spans="1:23">
      <c r="A136" s="106">
        <v>42915</v>
      </c>
      <c r="B136" s="20" t="s">
        <v>133</v>
      </c>
      <c r="C136" s="77">
        <v>29276.03</v>
      </c>
      <c r="D136" s="77">
        <v>29104.69</v>
      </c>
      <c r="E136" s="77">
        <v>29076.560000000001</v>
      </c>
      <c r="F136" s="77">
        <v>29090.07</v>
      </c>
      <c r="G136" s="77">
        <v>29319.35</v>
      </c>
      <c r="H136" s="77">
        <v>29267.06</v>
      </c>
      <c r="I136" s="77">
        <v>29083.599999999999</v>
      </c>
      <c r="J136" s="77">
        <v>29098.880000000001</v>
      </c>
      <c r="K136" s="77">
        <v>29354.13</v>
      </c>
      <c r="L136" s="94">
        <f>IF((K137=""),"",MAX(C138:K138))</f>
        <v>10750.170000000009</v>
      </c>
      <c r="M136" s="94">
        <f>IF(K137="","",MIN(C138:K138))</f>
        <v>9159.27</v>
      </c>
      <c r="N136" s="94">
        <f>IF((K138=""),"",AVERAGE(C138:K138))</f>
        <v>9983.7000000000025</v>
      </c>
      <c r="O136" s="94">
        <f>IF((K137=""),"",STDEV(C138:K138))</f>
        <v>475.40571943865751</v>
      </c>
      <c r="P136" s="94">
        <f>IF((K137=""),"",O136/N136*100)</f>
        <v>4.7618189592902169</v>
      </c>
      <c r="Q136" s="95" t="str">
        <f>IF(K137="","",IF(P136&lt;15,IF(N136&gt;9000,IF(N136&lt;15600,"Pass","Fail"),"Fail"),"Fail"))</f>
        <v>Pass</v>
      </c>
      <c r="R136" s="96">
        <v>64</v>
      </c>
      <c r="T136" s="97">
        <v>9000</v>
      </c>
      <c r="U136" s="77">
        <v>8090</v>
      </c>
      <c r="V136" s="77">
        <v>12070</v>
      </c>
      <c r="W136" s="77">
        <v>6</v>
      </c>
    </row>
    <row r="137" spans="1:23">
      <c r="A137" s="107"/>
      <c r="B137" s="21" t="s">
        <v>135</v>
      </c>
      <c r="C137" s="77">
        <v>25863.17</v>
      </c>
      <c r="D137" s="77">
        <v>25684.04</v>
      </c>
      <c r="E137" s="77">
        <v>25778.37</v>
      </c>
      <c r="F137" s="77">
        <v>25773.599999999999</v>
      </c>
      <c r="G137" s="77">
        <v>26151.19</v>
      </c>
      <c r="H137" s="77">
        <v>25683.67</v>
      </c>
      <c r="I137" s="77">
        <v>25642.67</v>
      </c>
      <c r="J137" s="77">
        <v>25841.52</v>
      </c>
      <c r="K137" s="77">
        <v>26301.040000000001</v>
      </c>
      <c r="L137" s="99"/>
      <c r="M137" s="99"/>
      <c r="N137" s="99"/>
      <c r="O137" s="99"/>
      <c r="P137" s="99"/>
      <c r="Q137" s="100"/>
      <c r="R137" s="101"/>
      <c r="T137" s="97">
        <v>9000</v>
      </c>
      <c r="U137" s="77">
        <v>8090</v>
      </c>
      <c r="V137" s="77">
        <v>12070</v>
      </c>
    </row>
    <row r="138" spans="1:23" ht="15.75" thickBot="1">
      <c r="A138" s="108"/>
      <c r="B138" s="22" t="s">
        <v>136</v>
      </c>
      <c r="C138" s="23">
        <f t="shared" ref="C138:K138" si="42">IF(((C136="")*AND(C137="")),"",(C136-C137)*3)</f>
        <v>10238.580000000002</v>
      </c>
      <c r="D138" s="23">
        <f t="shared" si="42"/>
        <v>10261.949999999993</v>
      </c>
      <c r="E138" s="23">
        <f t="shared" si="42"/>
        <v>9894.570000000007</v>
      </c>
      <c r="F138" s="23">
        <f t="shared" si="42"/>
        <v>9949.4100000000035</v>
      </c>
      <c r="G138" s="23">
        <f t="shared" si="42"/>
        <v>9504.48</v>
      </c>
      <c r="H138" s="23">
        <f t="shared" si="42"/>
        <v>10750.170000000009</v>
      </c>
      <c r="I138" s="23">
        <f t="shared" si="42"/>
        <v>10322.790000000001</v>
      </c>
      <c r="J138" s="23">
        <f t="shared" si="42"/>
        <v>9772.0800000000017</v>
      </c>
      <c r="K138" s="23">
        <f t="shared" si="42"/>
        <v>9159.27</v>
      </c>
      <c r="L138" s="103"/>
      <c r="M138" s="103"/>
      <c r="N138" s="103"/>
      <c r="O138" s="103"/>
      <c r="P138" s="103"/>
      <c r="Q138" s="104"/>
      <c r="R138" s="105"/>
      <c r="T138" s="97">
        <v>9000</v>
      </c>
      <c r="U138" s="77">
        <v>8090</v>
      </c>
      <c r="V138" s="77">
        <v>12070</v>
      </c>
    </row>
    <row r="139" spans="1:23">
      <c r="A139" s="106">
        <v>42915</v>
      </c>
      <c r="B139" s="20" t="s">
        <v>133</v>
      </c>
      <c r="C139" s="77">
        <v>29227.4</v>
      </c>
      <c r="D139" s="77">
        <v>29041.31</v>
      </c>
      <c r="E139" s="77">
        <v>29091.86</v>
      </c>
      <c r="F139" s="77">
        <v>29043.77</v>
      </c>
      <c r="G139" s="77">
        <v>29222.82</v>
      </c>
      <c r="H139" s="77">
        <v>29194.34</v>
      </c>
      <c r="I139" s="77">
        <v>29035.5</v>
      </c>
      <c r="J139" s="77">
        <v>29029.07</v>
      </c>
      <c r="K139" s="77">
        <v>29268.62</v>
      </c>
      <c r="L139" s="94">
        <f>IF((K140=""),"",MAX(C141:K141))</f>
        <v>10761.779999999995</v>
      </c>
      <c r="M139" s="94">
        <f>IF(K140="","",MIN(C141:K141))</f>
        <v>9209.1600000000035</v>
      </c>
      <c r="N139" s="94">
        <f>IF((K141=""),"",AVERAGE(C141:K141))</f>
        <v>10007.186666666668</v>
      </c>
      <c r="O139" s="94">
        <f>IF((K140=""),"",STDEV(C141:K141))</f>
        <v>456.6896813483001</v>
      </c>
      <c r="P139" s="94">
        <f>IF((K140=""),"",O139/N139*100)</f>
        <v>4.563617093998114</v>
      </c>
      <c r="Q139" s="95" t="str">
        <f>IF(K140="","",IF(P139&lt;15,IF(N139&gt;9000,IF(N139&lt;15600,"Pass","Fail"),"Fail"),"Fail"))</f>
        <v>Pass</v>
      </c>
      <c r="R139" s="96">
        <v>1428</v>
      </c>
      <c r="S139" s="77" t="s">
        <v>166</v>
      </c>
      <c r="T139" s="97">
        <v>9000</v>
      </c>
      <c r="U139" s="77">
        <v>8090</v>
      </c>
      <c r="V139" s="77">
        <v>12070</v>
      </c>
      <c r="W139" s="77">
        <v>6</v>
      </c>
    </row>
    <row r="140" spans="1:23">
      <c r="A140" s="107"/>
      <c r="B140" s="21" t="s">
        <v>135</v>
      </c>
      <c r="C140" s="77">
        <v>26045.53</v>
      </c>
      <c r="D140" s="77">
        <v>25720.85</v>
      </c>
      <c r="E140" s="77">
        <v>25777.53</v>
      </c>
      <c r="F140" s="77">
        <v>25622.6</v>
      </c>
      <c r="G140" s="77">
        <v>25812.11</v>
      </c>
      <c r="H140" s="77">
        <v>26124.62</v>
      </c>
      <c r="I140" s="77">
        <v>25758.36</v>
      </c>
      <c r="J140" s="77">
        <v>25590.17</v>
      </c>
      <c r="K140" s="77">
        <v>25681.360000000001</v>
      </c>
      <c r="L140" s="99"/>
      <c r="M140" s="99"/>
      <c r="N140" s="99"/>
      <c r="O140" s="99"/>
      <c r="P140" s="99"/>
      <c r="Q140" s="100"/>
      <c r="R140" s="101"/>
      <c r="T140" s="97">
        <v>9000</v>
      </c>
      <c r="U140" s="77">
        <v>8090</v>
      </c>
      <c r="V140" s="77">
        <v>12070</v>
      </c>
    </row>
    <row r="141" spans="1:23" ht="15.75" thickBot="1">
      <c r="A141" s="108"/>
      <c r="B141" s="22" t="s">
        <v>136</v>
      </c>
      <c r="C141" s="23">
        <f t="shared" ref="C141:K141" si="43">IF(((C139="")*AND(C140="")),"",(C139-C140)*3)</f>
        <v>9545.6100000000079</v>
      </c>
      <c r="D141" s="23">
        <f t="shared" si="43"/>
        <v>9961.3800000000083</v>
      </c>
      <c r="E141" s="23">
        <f t="shared" si="43"/>
        <v>9942.9900000000052</v>
      </c>
      <c r="F141" s="23">
        <f t="shared" si="43"/>
        <v>10263.510000000006</v>
      </c>
      <c r="G141" s="23">
        <f t="shared" si="43"/>
        <v>10232.129999999997</v>
      </c>
      <c r="H141" s="23">
        <f t="shared" si="43"/>
        <v>9209.1600000000035</v>
      </c>
      <c r="I141" s="23">
        <f t="shared" si="43"/>
        <v>9831.4199999999983</v>
      </c>
      <c r="J141" s="23">
        <f t="shared" si="43"/>
        <v>10316.700000000004</v>
      </c>
      <c r="K141" s="23">
        <f t="shared" si="43"/>
        <v>10761.779999999995</v>
      </c>
      <c r="L141" s="103"/>
      <c r="M141" s="103"/>
      <c r="N141" s="103"/>
      <c r="O141" s="103"/>
      <c r="P141" s="103"/>
      <c r="Q141" s="104"/>
      <c r="R141" s="105"/>
      <c r="T141" s="97">
        <v>9000</v>
      </c>
      <c r="U141" s="77">
        <v>8090</v>
      </c>
      <c r="V141" s="77">
        <v>12070</v>
      </c>
    </row>
    <row r="142" spans="1:23">
      <c r="A142" s="106">
        <v>42923</v>
      </c>
      <c r="B142" s="20" t="s">
        <v>133</v>
      </c>
      <c r="C142" s="77">
        <v>29247.01</v>
      </c>
      <c r="D142" s="77">
        <v>29040.79</v>
      </c>
      <c r="E142" s="77">
        <v>29100</v>
      </c>
      <c r="F142" s="77">
        <v>29018.84</v>
      </c>
      <c r="G142" s="77">
        <v>29215.29</v>
      </c>
      <c r="H142" s="77">
        <v>29180.16</v>
      </c>
      <c r="I142" s="77">
        <v>29010.55</v>
      </c>
      <c r="J142" s="77">
        <v>29027.06</v>
      </c>
      <c r="K142" s="77">
        <v>29227.07</v>
      </c>
      <c r="L142" s="94">
        <f>IF((K143=""),"",MAX(C144:K144))</f>
        <v>10580.819999999996</v>
      </c>
      <c r="M142" s="94">
        <f>IF(K143="","",MIN(C144:K144))</f>
        <v>8956.5900000000074</v>
      </c>
      <c r="N142" s="94">
        <f>IF((K144=""),"",AVERAGE(C144:K144))</f>
        <v>9656.4866666666712</v>
      </c>
      <c r="O142" s="94">
        <f>IF((K143=""),"",STDEV(C144:K144))</f>
        <v>503.61143513620561</v>
      </c>
      <c r="P142" s="94">
        <f>IF((K143=""),"",O142/N142*100)</f>
        <v>5.2152656811988081</v>
      </c>
      <c r="Q142" s="95" t="str">
        <f>IF(K143="","",IF(P142&lt;15,IF(N142&gt;9000,IF(N142&lt;15600,"Pass","Fail"),"Fail"),"Fail"))</f>
        <v>Pass</v>
      </c>
      <c r="R142" s="96">
        <v>1428</v>
      </c>
      <c r="S142" s="92" t="s">
        <v>167</v>
      </c>
      <c r="T142" s="97">
        <v>9000</v>
      </c>
      <c r="U142" s="77">
        <v>8090</v>
      </c>
      <c r="V142" s="77">
        <v>12070</v>
      </c>
      <c r="W142" s="77">
        <v>6</v>
      </c>
    </row>
    <row r="143" spans="1:23">
      <c r="A143" s="107"/>
      <c r="B143" s="21" t="s">
        <v>135</v>
      </c>
      <c r="C143" s="77">
        <v>25931.46</v>
      </c>
      <c r="D143" s="77">
        <v>25733.37</v>
      </c>
      <c r="E143" s="77">
        <v>25912.2</v>
      </c>
      <c r="F143" s="77">
        <v>25860.67</v>
      </c>
      <c r="G143" s="77">
        <v>26229.759999999998</v>
      </c>
      <c r="H143" s="77">
        <v>25653.22</v>
      </c>
      <c r="I143" s="77">
        <v>25699.62</v>
      </c>
      <c r="J143" s="77">
        <v>25861.64</v>
      </c>
      <c r="K143" s="77">
        <v>26215.37</v>
      </c>
      <c r="L143" s="99"/>
      <c r="M143" s="99"/>
      <c r="N143" s="99"/>
      <c r="O143" s="99"/>
      <c r="P143" s="99"/>
      <c r="Q143" s="100"/>
      <c r="R143" s="101"/>
      <c r="T143" s="97">
        <v>9000</v>
      </c>
      <c r="U143" s="77">
        <v>8090</v>
      </c>
      <c r="V143" s="77">
        <v>12070</v>
      </c>
    </row>
    <row r="144" spans="1:23" ht="15.75" thickBot="1">
      <c r="A144" s="108"/>
      <c r="B144" s="22" t="s">
        <v>136</v>
      </c>
      <c r="C144" s="23">
        <f t="shared" ref="C144:K144" si="44">IF(((C142="")*AND(C143="")),"",(C142-C143)*3)</f>
        <v>9946.6499999999978</v>
      </c>
      <c r="D144" s="23">
        <f t="shared" si="44"/>
        <v>9922.2600000000057</v>
      </c>
      <c r="E144" s="23">
        <f t="shared" si="44"/>
        <v>9563.3999999999978</v>
      </c>
      <c r="F144" s="23">
        <f t="shared" si="44"/>
        <v>9474.5100000000057</v>
      </c>
      <c r="G144" s="23">
        <f t="shared" si="44"/>
        <v>8956.5900000000074</v>
      </c>
      <c r="H144" s="23">
        <f t="shared" si="44"/>
        <v>10580.819999999996</v>
      </c>
      <c r="I144" s="23">
        <f t="shared" si="44"/>
        <v>9932.7900000000009</v>
      </c>
      <c r="J144" s="23">
        <f t="shared" si="44"/>
        <v>9496.2600000000057</v>
      </c>
      <c r="K144" s="23">
        <f t="shared" si="44"/>
        <v>9035.1000000000022</v>
      </c>
      <c r="L144" s="103"/>
      <c r="M144" s="103"/>
      <c r="N144" s="103"/>
      <c r="O144" s="103"/>
      <c r="P144" s="103"/>
      <c r="Q144" s="104"/>
      <c r="R144" s="105"/>
      <c r="T144" s="97">
        <v>9000</v>
      </c>
      <c r="U144" s="77">
        <v>8090</v>
      </c>
      <c r="V144" s="77">
        <v>12070</v>
      </c>
    </row>
    <row r="145" spans="1:23">
      <c r="A145" s="106">
        <v>42933</v>
      </c>
      <c r="B145" s="20" t="s">
        <v>133</v>
      </c>
      <c r="C145" s="77">
        <v>29108.83</v>
      </c>
      <c r="D145" s="77">
        <v>28938.04</v>
      </c>
      <c r="E145" s="77">
        <v>28918.400000000001</v>
      </c>
      <c r="F145" s="77">
        <v>28938.29</v>
      </c>
      <c r="G145" s="77">
        <v>29160.75</v>
      </c>
      <c r="H145" s="77">
        <v>29128.04</v>
      </c>
      <c r="I145" s="77">
        <v>28935.66</v>
      </c>
      <c r="J145" s="77">
        <v>28926.63</v>
      </c>
      <c r="K145" s="77">
        <v>29145.06</v>
      </c>
      <c r="L145" s="94">
        <f>IF((K146=""),"",MAX(C147:K147))</f>
        <v>10484.910000000003</v>
      </c>
      <c r="M145" s="94">
        <f>IF(K146="","",MIN(C147:K147))</f>
        <v>8838.570000000007</v>
      </c>
      <c r="N145" s="94">
        <f>IF((K147=""),"",AVERAGE(C147:K147))</f>
        <v>9578.3966666666711</v>
      </c>
      <c r="O145" s="94">
        <f>IF((K146=""),"",STDEV(C147:K147))</f>
        <v>498.08495723619529</v>
      </c>
      <c r="P145" s="94">
        <f>IF((K146=""),"",O145/N145*100)</f>
        <v>5.2000869724842085</v>
      </c>
      <c r="Q145" s="95" t="str">
        <f>IF(K146="","",IF(P145&lt;15,IF(N145&gt;9000,IF(N145&lt;15600,"Pass","Fail"),"Fail"),"Fail"))</f>
        <v>Pass</v>
      </c>
      <c r="R145" s="96">
        <v>102</v>
      </c>
      <c r="S145" s="92" t="s">
        <v>168</v>
      </c>
      <c r="T145" s="97">
        <v>9000</v>
      </c>
      <c r="U145" s="77">
        <v>8090</v>
      </c>
      <c r="V145" s="77">
        <v>12070</v>
      </c>
      <c r="W145" s="77">
        <v>6</v>
      </c>
    </row>
    <row r="146" spans="1:23">
      <c r="A146" s="107"/>
      <c r="B146" s="21" t="s">
        <v>135</v>
      </c>
      <c r="C146" s="77">
        <v>26053.47</v>
      </c>
      <c r="D146" s="77">
        <v>25804.84</v>
      </c>
      <c r="E146" s="77">
        <v>25792.14</v>
      </c>
      <c r="F146" s="77">
        <v>25672.23</v>
      </c>
      <c r="G146" s="77">
        <v>25845.68</v>
      </c>
      <c r="H146" s="77">
        <v>26181.85</v>
      </c>
      <c r="I146" s="77">
        <v>25839.42</v>
      </c>
      <c r="J146" s="77">
        <v>25624.79</v>
      </c>
      <c r="K146" s="77">
        <v>25650.09</v>
      </c>
      <c r="L146" s="99"/>
      <c r="M146" s="99"/>
      <c r="N146" s="99"/>
      <c r="O146" s="99"/>
      <c r="P146" s="99"/>
      <c r="Q146" s="100"/>
      <c r="R146" s="101"/>
      <c r="T146" s="97">
        <v>9000</v>
      </c>
      <c r="U146" s="77">
        <v>8090</v>
      </c>
      <c r="V146" s="77">
        <v>12070</v>
      </c>
    </row>
    <row r="147" spans="1:23" ht="15.75" thickBot="1">
      <c r="A147" s="108"/>
      <c r="B147" s="22" t="s">
        <v>136</v>
      </c>
      <c r="C147" s="23">
        <f t="shared" ref="C147:K147" si="45">IF(((C145="")*AND(C146="")),"",(C145-C146)*3)</f>
        <v>9166.0800000000017</v>
      </c>
      <c r="D147" s="23">
        <f t="shared" si="45"/>
        <v>9399.6000000000022</v>
      </c>
      <c r="E147" s="23">
        <f t="shared" si="45"/>
        <v>9378.7800000000061</v>
      </c>
      <c r="F147" s="23">
        <f t="shared" si="45"/>
        <v>9798.1800000000039</v>
      </c>
      <c r="G147" s="23">
        <f t="shared" si="45"/>
        <v>9945.2099999999991</v>
      </c>
      <c r="H147" s="23">
        <f t="shared" si="45"/>
        <v>8838.570000000007</v>
      </c>
      <c r="I147" s="23">
        <f t="shared" si="45"/>
        <v>9288.7200000000048</v>
      </c>
      <c r="J147" s="23">
        <f t="shared" si="45"/>
        <v>9905.52</v>
      </c>
      <c r="K147" s="23">
        <f t="shared" si="45"/>
        <v>10484.910000000003</v>
      </c>
      <c r="L147" s="103"/>
      <c r="M147" s="103"/>
      <c r="N147" s="103"/>
      <c r="O147" s="103"/>
      <c r="P147" s="103"/>
      <c r="Q147" s="104"/>
      <c r="R147" s="105"/>
      <c r="T147" s="97">
        <v>9000</v>
      </c>
      <c r="U147" s="77">
        <v>8090</v>
      </c>
      <c r="V147" s="77">
        <v>12070</v>
      </c>
    </row>
    <row r="148" spans="1:23">
      <c r="A148" s="106">
        <v>42937</v>
      </c>
      <c r="B148" s="20" t="s">
        <v>133</v>
      </c>
      <c r="C148" s="77">
        <v>29057.17</v>
      </c>
      <c r="D148" s="77">
        <v>28928.43</v>
      </c>
      <c r="E148" s="77">
        <v>28902.720000000001</v>
      </c>
      <c r="F148" s="77">
        <v>28914.09</v>
      </c>
      <c r="G148" s="77">
        <v>29081.83</v>
      </c>
      <c r="H148" s="77">
        <v>29102.75</v>
      </c>
      <c r="I148" s="77">
        <v>28915.08</v>
      </c>
      <c r="J148" s="77">
        <v>28923.66</v>
      </c>
      <c r="K148" s="77">
        <v>29157.3</v>
      </c>
      <c r="L148" s="94">
        <f>IF((K149=""),"",MAX(C150:K150))</f>
        <v>10339.529999999995</v>
      </c>
      <c r="M148" s="94">
        <f>IF(K149="","",MIN(C150:K150))</f>
        <v>8936.7900000000009</v>
      </c>
      <c r="N148" s="94">
        <f>IF((K150=""),"",AVERAGE(C150:K150))</f>
        <v>9501.5133333333306</v>
      </c>
      <c r="O148" s="94">
        <f>IF((K149=""),"",STDEV(C150:K150))</f>
        <v>465.88357105074709</v>
      </c>
      <c r="P148" s="94">
        <f>IF((K149=""),"",O148/N148*100)</f>
        <v>4.9032565098480507</v>
      </c>
      <c r="Q148" s="95" t="str">
        <f>IF(K149="","",IF(P148&lt;15,IF(N148&gt;9000,IF(N148&lt;15600,"Pass","Fail"),"Fail"),"Fail"))</f>
        <v>Pass</v>
      </c>
      <c r="R148" s="96">
        <v>1428</v>
      </c>
      <c r="T148" s="97">
        <v>9000</v>
      </c>
      <c r="U148" s="77">
        <v>8090</v>
      </c>
      <c r="V148" s="77">
        <v>12070</v>
      </c>
      <c r="W148" s="77">
        <v>6</v>
      </c>
    </row>
    <row r="149" spans="1:23">
      <c r="A149" s="107"/>
      <c r="B149" s="21" t="s">
        <v>135</v>
      </c>
      <c r="C149" s="77">
        <v>25745.59</v>
      </c>
      <c r="D149" s="77">
        <v>25687.58</v>
      </c>
      <c r="E149" s="77">
        <v>25808.97</v>
      </c>
      <c r="F149" s="77">
        <v>25808.7</v>
      </c>
      <c r="G149" s="77">
        <v>26102.9</v>
      </c>
      <c r="H149" s="77">
        <v>25656.240000000002</v>
      </c>
      <c r="I149" s="77">
        <v>25674.799999999999</v>
      </c>
      <c r="J149" s="77">
        <v>25816.38</v>
      </c>
      <c r="K149" s="77">
        <v>26177.33</v>
      </c>
      <c r="L149" s="99"/>
      <c r="M149" s="99"/>
      <c r="N149" s="99"/>
      <c r="O149" s="99"/>
      <c r="P149" s="99"/>
      <c r="Q149" s="100"/>
      <c r="R149" s="101"/>
      <c r="T149" s="97">
        <v>9000</v>
      </c>
      <c r="U149" s="77">
        <v>8090</v>
      </c>
      <c r="V149" s="77">
        <v>12070</v>
      </c>
    </row>
    <row r="150" spans="1:23" ht="15.75" thickBot="1">
      <c r="A150" s="108"/>
      <c r="B150" s="22" t="s">
        <v>136</v>
      </c>
      <c r="C150" s="23">
        <f t="shared" ref="C150:K150" si="46">IF(((C148="")*AND(C149="")),"",(C148-C149)*3)</f>
        <v>9934.7399999999943</v>
      </c>
      <c r="D150" s="23">
        <f t="shared" si="46"/>
        <v>9722.5499999999956</v>
      </c>
      <c r="E150" s="23">
        <f t="shared" si="46"/>
        <v>9281.25</v>
      </c>
      <c r="F150" s="23">
        <f t="shared" si="46"/>
        <v>9316.1699999999983</v>
      </c>
      <c r="G150" s="23">
        <f t="shared" si="46"/>
        <v>8936.7900000000009</v>
      </c>
      <c r="H150" s="23">
        <f t="shared" si="46"/>
        <v>10339.529999999995</v>
      </c>
      <c r="I150" s="23">
        <f t="shared" si="46"/>
        <v>9720.8400000000074</v>
      </c>
      <c r="J150" s="23">
        <f t="shared" si="46"/>
        <v>9321.8399999999965</v>
      </c>
      <c r="K150" s="23">
        <f t="shared" si="46"/>
        <v>8939.9099999999926</v>
      </c>
      <c r="L150" s="103"/>
      <c r="M150" s="103"/>
      <c r="N150" s="103"/>
      <c r="O150" s="103"/>
      <c r="P150" s="103"/>
      <c r="Q150" s="104"/>
      <c r="R150" s="105"/>
      <c r="T150" s="97">
        <v>9000</v>
      </c>
      <c r="U150" s="77">
        <v>8090</v>
      </c>
      <c r="V150" s="77">
        <v>12070</v>
      </c>
    </row>
    <row r="151" spans="1:23">
      <c r="A151" s="106">
        <v>42940</v>
      </c>
      <c r="B151" s="20" t="s">
        <v>133</v>
      </c>
      <c r="C151" s="77">
        <v>29060.65</v>
      </c>
      <c r="D151" s="77">
        <v>28888.45</v>
      </c>
      <c r="E151" s="77">
        <v>28875.17</v>
      </c>
      <c r="F151" s="77">
        <v>28885.98</v>
      </c>
      <c r="G151" s="77">
        <v>29084.38</v>
      </c>
      <c r="H151" s="77">
        <v>29049.96</v>
      </c>
      <c r="I151" s="77">
        <v>28875.72</v>
      </c>
      <c r="J151" s="77">
        <v>28898.37</v>
      </c>
      <c r="K151" s="77">
        <v>29117.11</v>
      </c>
      <c r="L151" s="94">
        <f>IF((K152=""),"",MAX(C153:K153))</f>
        <v>10455.330000000002</v>
      </c>
      <c r="M151" s="94">
        <f>IF(K152="","",MIN(C153:K153))</f>
        <v>8874.48</v>
      </c>
      <c r="N151" s="94">
        <f>IF((K153=""),"",AVERAGE(C153:K153))</f>
        <v>9546.6666666666679</v>
      </c>
      <c r="O151" s="94">
        <f>IF((K152=""),"",STDEV(C153:K153))</f>
        <v>478.49647328894901</v>
      </c>
      <c r="P151" s="94">
        <f>IF((K152=""),"",O151/N151*100)</f>
        <v>5.0121837285853594</v>
      </c>
      <c r="Q151" s="95" t="str">
        <f>IF(K152="","",IF(P151&lt;15,IF(N151&gt;9000,IF(N151&lt;15600,"Pass","Fail"),"Fail"),"Fail"))</f>
        <v>Pass</v>
      </c>
      <c r="R151" s="96">
        <v>121</v>
      </c>
      <c r="S151" s="77" t="s">
        <v>169</v>
      </c>
      <c r="T151" s="97">
        <v>9000</v>
      </c>
      <c r="U151" s="77">
        <v>8090</v>
      </c>
      <c r="V151" s="77">
        <v>12070</v>
      </c>
      <c r="W151" s="77">
        <v>6</v>
      </c>
    </row>
    <row r="152" spans="1:23">
      <c r="A152" s="107"/>
      <c r="B152" s="21" t="s">
        <v>135</v>
      </c>
      <c r="C152" s="77">
        <v>26026.35</v>
      </c>
      <c r="D152" s="77">
        <v>25757.4</v>
      </c>
      <c r="E152" s="77">
        <v>25766.69</v>
      </c>
      <c r="F152" s="77">
        <v>25638.53</v>
      </c>
      <c r="G152" s="77">
        <v>25800.9</v>
      </c>
      <c r="H152" s="77">
        <v>26091.8</v>
      </c>
      <c r="I152" s="77">
        <v>25771.25</v>
      </c>
      <c r="J152" s="77">
        <v>25610.87</v>
      </c>
      <c r="K152" s="77">
        <v>25632</v>
      </c>
      <c r="L152" s="99"/>
      <c r="M152" s="99"/>
      <c r="N152" s="99"/>
      <c r="O152" s="99"/>
      <c r="P152" s="99"/>
      <c r="Q152" s="100"/>
      <c r="R152" s="101"/>
      <c r="T152" s="97">
        <v>9000</v>
      </c>
      <c r="U152" s="77">
        <v>8090</v>
      </c>
      <c r="V152" s="77">
        <v>12070</v>
      </c>
    </row>
    <row r="153" spans="1:23" ht="15.75" thickBot="1">
      <c r="A153" s="108"/>
      <c r="B153" s="22" t="s">
        <v>136</v>
      </c>
      <c r="C153" s="23">
        <f t="shared" ref="C153:K153" si="47">IF(((C151="")*AND(C152="")),"",(C151-C152)*3)</f>
        <v>9102.9000000000087</v>
      </c>
      <c r="D153" s="23">
        <f t="shared" si="47"/>
        <v>9393.1499999999978</v>
      </c>
      <c r="E153" s="23">
        <f t="shared" si="47"/>
        <v>9325.4399999999987</v>
      </c>
      <c r="F153" s="23">
        <f t="shared" si="47"/>
        <v>9742.3500000000022</v>
      </c>
      <c r="G153" s="23">
        <f t="shared" si="47"/>
        <v>9850.4399999999987</v>
      </c>
      <c r="H153" s="23">
        <f t="shared" si="47"/>
        <v>8874.48</v>
      </c>
      <c r="I153" s="23">
        <f t="shared" si="47"/>
        <v>9313.4100000000035</v>
      </c>
      <c r="J153" s="23">
        <f t="shared" si="47"/>
        <v>9862.5</v>
      </c>
      <c r="K153" s="23">
        <f t="shared" si="47"/>
        <v>10455.330000000002</v>
      </c>
      <c r="L153" s="103"/>
      <c r="M153" s="103"/>
      <c r="N153" s="103"/>
      <c r="O153" s="103"/>
      <c r="P153" s="103"/>
      <c r="Q153" s="104"/>
      <c r="R153" s="105"/>
      <c r="T153" s="97">
        <v>9000</v>
      </c>
      <c r="U153" s="77">
        <v>8090</v>
      </c>
      <c r="V153" s="77">
        <v>12070</v>
      </c>
    </row>
    <row r="154" spans="1:23">
      <c r="A154" s="106">
        <v>42944</v>
      </c>
      <c r="B154" s="20" t="s">
        <v>133</v>
      </c>
      <c r="C154" s="77">
        <v>29124.11</v>
      </c>
      <c r="D154" s="77">
        <v>28923.22</v>
      </c>
      <c r="E154" s="77">
        <v>28896</v>
      </c>
      <c r="F154" s="77">
        <v>28900.27</v>
      </c>
      <c r="G154" s="77">
        <v>29111.439999999999</v>
      </c>
      <c r="H154" s="77">
        <v>29084.03</v>
      </c>
      <c r="I154" s="77">
        <v>28903.13</v>
      </c>
      <c r="J154" s="77">
        <v>28905.57</v>
      </c>
      <c r="K154" s="77">
        <v>29108.62</v>
      </c>
      <c r="L154" s="94">
        <f>IF((K155=""),"",MAX(C156:K156))</f>
        <v>10657.259999999995</v>
      </c>
      <c r="M154" s="94">
        <f>IF(K155="","",MIN(C156:K156))</f>
        <v>8970.8100000000013</v>
      </c>
      <c r="N154" s="94">
        <f>IF((K156=""),"",AVERAGE(C156:K156))</f>
        <v>9763.01</v>
      </c>
      <c r="O154" s="94">
        <f>IF((K155=""),"",STDEV(C156:K156))</f>
        <v>471.70104261066797</v>
      </c>
      <c r="P154" s="94">
        <f>IF((K155=""),"",O154/N154*100)</f>
        <v>4.8315124394082147</v>
      </c>
      <c r="Q154" s="95" t="str">
        <f>IF(K155="","",IF(P154&lt;15,IF(N154&gt;9000,IF(N154&lt;15600,"Pass","Fail"),"Fail"),"Fail"))</f>
        <v>Pass</v>
      </c>
      <c r="R154" s="96">
        <v>102</v>
      </c>
      <c r="S154" s="77" t="s">
        <v>170</v>
      </c>
      <c r="T154" s="97">
        <v>9000</v>
      </c>
      <c r="U154" s="77">
        <v>8090</v>
      </c>
      <c r="V154" s="77">
        <v>12070</v>
      </c>
      <c r="W154" s="77">
        <v>6</v>
      </c>
    </row>
    <row r="155" spans="1:23">
      <c r="A155" s="107"/>
      <c r="B155" s="21" t="s">
        <v>135</v>
      </c>
      <c r="C155" s="77">
        <v>25972.68</v>
      </c>
      <c r="D155" s="77">
        <v>25688.46</v>
      </c>
      <c r="E155" s="77">
        <v>25683.26</v>
      </c>
      <c r="F155" s="77">
        <v>25592.68</v>
      </c>
      <c r="G155" s="77">
        <v>25797.65</v>
      </c>
      <c r="H155" s="77">
        <v>26093.759999999998</v>
      </c>
      <c r="I155" s="77">
        <v>25740.04</v>
      </c>
      <c r="J155" s="77">
        <v>25542.63</v>
      </c>
      <c r="K155" s="77">
        <v>25556.2</v>
      </c>
      <c r="L155" s="99"/>
      <c r="M155" s="99"/>
      <c r="N155" s="99"/>
      <c r="O155" s="99"/>
      <c r="P155" s="99"/>
      <c r="Q155" s="100"/>
      <c r="R155" s="101"/>
      <c r="T155" s="97">
        <v>9000</v>
      </c>
      <c r="U155" s="77">
        <v>8090</v>
      </c>
      <c r="V155" s="77">
        <v>12070</v>
      </c>
    </row>
    <row r="156" spans="1:23" ht="15.75" thickBot="1">
      <c r="A156" s="108"/>
      <c r="B156" s="22" t="s">
        <v>136</v>
      </c>
      <c r="C156" s="23">
        <f t="shared" ref="C156:K156" si="48">IF(((C154="")*AND(C155="")),"",(C154-C155)*3)</f>
        <v>9454.2900000000009</v>
      </c>
      <c r="D156" s="23">
        <f t="shared" si="48"/>
        <v>9704.2800000000061</v>
      </c>
      <c r="E156" s="23">
        <f t="shared" si="48"/>
        <v>9638.2200000000048</v>
      </c>
      <c r="F156" s="23">
        <f t="shared" si="48"/>
        <v>9922.77</v>
      </c>
      <c r="G156" s="23">
        <f t="shared" si="48"/>
        <v>9941.3699999999917</v>
      </c>
      <c r="H156" s="23">
        <f t="shared" si="48"/>
        <v>8970.8100000000013</v>
      </c>
      <c r="I156" s="23">
        <f t="shared" si="48"/>
        <v>9489.27</v>
      </c>
      <c r="J156" s="23">
        <f t="shared" si="48"/>
        <v>10088.819999999996</v>
      </c>
      <c r="K156" s="23">
        <f t="shared" si="48"/>
        <v>10657.259999999995</v>
      </c>
      <c r="L156" s="103"/>
      <c r="M156" s="103"/>
      <c r="N156" s="103"/>
      <c r="O156" s="103"/>
      <c r="P156" s="103"/>
      <c r="Q156" s="104"/>
      <c r="R156" s="105"/>
      <c r="T156" s="97">
        <v>9000</v>
      </c>
      <c r="U156" s="77">
        <v>8090</v>
      </c>
      <c r="V156" s="77">
        <v>12070</v>
      </c>
    </row>
    <row r="157" spans="1:23">
      <c r="A157" s="106">
        <v>42948</v>
      </c>
      <c r="B157" s="20" t="s">
        <v>133</v>
      </c>
      <c r="C157" s="77">
        <v>29341.4</v>
      </c>
      <c r="D157" s="77">
        <v>29181.41</v>
      </c>
      <c r="E157" s="77">
        <v>29240.080000000002</v>
      </c>
      <c r="F157" s="77">
        <v>29192.82</v>
      </c>
      <c r="G157" s="77">
        <v>29441.74</v>
      </c>
      <c r="H157" s="77">
        <v>29345.15</v>
      </c>
      <c r="I157" s="77">
        <v>29187.13</v>
      </c>
      <c r="J157" s="77">
        <v>29175.75</v>
      </c>
      <c r="K157" s="77">
        <v>29419.57</v>
      </c>
      <c r="L157" s="94">
        <f>IF((K158=""),"",MAX(C159:K159))</f>
        <v>10393.589999999997</v>
      </c>
      <c r="M157" s="94">
        <f>IF(K158="","",MIN(C159:K159))</f>
        <v>8799.8700000000026</v>
      </c>
      <c r="N157" s="94">
        <f>IF((K159=""),"",AVERAGE(C159:K159))</f>
        <v>9497.9699999999993</v>
      </c>
      <c r="O157" s="94">
        <f>IF((K158=""),"",STDEV(C159:K159))</f>
        <v>478.40841553009051</v>
      </c>
      <c r="P157" s="94">
        <f>IF((K158=""),"",O157/N157*100)</f>
        <v>5.036954375830736</v>
      </c>
      <c r="Q157" s="95" t="str">
        <f>IF(K158="","",IF(P157&lt;15,IF(N157&gt;9000,IF(N157&lt;15600,"Pass","Fail"),"Fail"),"Fail"))</f>
        <v>Pass</v>
      </c>
      <c r="R157" s="96">
        <v>1159</v>
      </c>
      <c r="S157" s="77" t="s">
        <v>171</v>
      </c>
      <c r="T157" s="97">
        <v>9000</v>
      </c>
      <c r="U157" s="77">
        <v>8090</v>
      </c>
      <c r="V157" s="77">
        <v>12070</v>
      </c>
      <c r="W157" s="77">
        <v>6</v>
      </c>
    </row>
    <row r="158" spans="1:23">
      <c r="A158" s="107"/>
      <c r="B158" s="21" t="s">
        <v>135</v>
      </c>
      <c r="C158" s="77">
        <v>26303.4</v>
      </c>
      <c r="D158" s="77">
        <v>26066.49</v>
      </c>
      <c r="E158" s="77">
        <v>26133.68</v>
      </c>
      <c r="F158" s="77">
        <v>25961.66</v>
      </c>
      <c r="G158" s="77">
        <v>26168.97</v>
      </c>
      <c r="H158" s="77">
        <v>26411.86</v>
      </c>
      <c r="I158" s="77">
        <v>26125.54</v>
      </c>
      <c r="J158" s="77">
        <v>25904.5</v>
      </c>
      <c r="K158" s="77">
        <v>25955.040000000001</v>
      </c>
      <c r="L158" s="99"/>
      <c r="M158" s="99"/>
      <c r="N158" s="99"/>
      <c r="O158" s="99"/>
      <c r="P158" s="99"/>
      <c r="Q158" s="100"/>
      <c r="R158" s="101"/>
      <c r="T158" s="97">
        <v>9000</v>
      </c>
      <c r="U158" s="77">
        <v>8090</v>
      </c>
      <c r="V158" s="77">
        <v>12070</v>
      </c>
    </row>
    <row r="159" spans="1:23" ht="15.75" thickBot="1">
      <c r="A159" s="108"/>
      <c r="B159" s="22" t="s">
        <v>136</v>
      </c>
      <c r="C159" s="23">
        <f t="shared" ref="C159:K159" si="49">IF(((C157="")*AND(C158="")),"",(C157-C158)*3)</f>
        <v>9114</v>
      </c>
      <c r="D159" s="23">
        <f t="shared" si="49"/>
        <v>9344.7599999999948</v>
      </c>
      <c r="E159" s="23">
        <f t="shared" si="49"/>
        <v>9319.2000000000044</v>
      </c>
      <c r="F159" s="23">
        <f t="shared" si="49"/>
        <v>9693.48</v>
      </c>
      <c r="G159" s="23">
        <f t="shared" si="49"/>
        <v>9818.3100000000013</v>
      </c>
      <c r="H159" s="23">
        <f t="shared" si="49"/>
        <v>8799.8700000000026</v>
      </c>
      <c r="I159" s="23">
        <f t="shared" si="49"/>
        <v>9184.77</v>
      </c>
      <c r="J159" s="23">
        <f t="shared" si="49"/>
        <v>9813.75</v>
      </c>
      <c r="K159" s="23">
        <f t="shared" si="49"/>
        <v>10393.589999999997</v>
      </c>
      <c r="L159" s="103"/>
      <c r="M159" s="103"/>
      <c r="N159" s="103"/>
      <c r="O159" s="103"/>
      <c r="P159" s="103"/>
      <c r="Q159" s="104"/>
      <c r="R159" s="105"/>
      <c r="T159" s="97">
        <v>9000</v>
      </c>
      <c r="U159" s="77">
        <v>8090</v>
      </c>
      <c r="V159" s="77">
        <v>12070</v>
      </c>
    </row>
    <row r="160" spans="1:23">
      <c r="A160" s="106">
        <v>42952</v>
      </c>
      <c r="B160" s="20" t="s">
        <v>133</v>
      </c>
      <c r="C160" s="77">
        <v>29073.64</v>
      </c>
      <c r="D160" s="77">
        <v>28879.81</v>
      </c>
      <c r="E160" s="77">
        <v>28922.49</v>
      </c>
      <c r="F160" s="77">
        <v>28872.63</v>
      </c>
      <c r="G160" s="77">
        <v>29048.49</v>
      </c>
      <c r="H160" s="77">
        <v>28991.279999999999</v>
      </c>
      <c r="I160" s="77">
        <v>28862.25</v>
      </c>
      <c r="J160" s="77">
        <v>28878.85</v>
      </c>
      <c r="K160" s="77">
        <v>29121.34</v>
      </c>
      <c r="L160" s="94">
        <f>IF((K161=""),"",MAX(C162:K162))</f>
        <v>11435.069999999996</v>
      </c>
      <c r="M160" s="94">
        <f>IF(K161="","",MIN(C162:K162))</f>
        <v>9875.1599999999926</v>
      </c>
      <c r="N160" s="94">
        <f>IF((K162=""),"",AVERAGE(C162:K162))</f>
        <v>10587.009999999998</v>
      </c>
      <c r="O160" s="94">
        <f>IF((K161=""),"",STDEV(C162:K162))</f>
        <v>428.99332153897569</v>
      </c>
      <c r="P160" s="94">
        <f>IF((K161=""),"",O160/N160*100)</f>
        <v>4.052072507147682</v>
      </c>
      <c r="Q160" s="95" t="str">
        <f>IF(K161="","",IF(P160&lt;15,IF(N160&gt;9000,IF(N160&lt;15600,"Pass","Fail"),"Fail"),"Fail"))</f>
        <v>Pass</v>
      </c>
      <c r="R160" s="96">
        <v>1534</v>
      </c>
      <c r="T160" s="97">
        <v>9000</v>
      </c>
      <c r="U160" s="77">
        <v>8090</v>
      </c>
      <c r="V160" s="77">
        <v>12070</v>
      </c>
      <c r="W160" s="77">
        <v>6</v>
      </c>
    </row>
    <row r="161" spans="1:23">
      <c r="A161" s="107"/>
      <c r="B161" s="21" t="s">
        <v>135</v>
      </c>
      <c r="C161" s="77">
        <v>25637.41</v>
      </c>
      <c r="D161" s="77">
        <v>25376.25</v>
      </c>
      <c r="E161" s="77">
        <v>25434.54</v>
      </c>
      <c r="F161" s="77">
        <v>25285.63</v>
      </c>
      <c r="G161" s="77">
        <v>25477.87</v>
      </c>
      <c r="H161" s="77">
        <v>25699.56</v>
      </c>
      <c r="I161" s="77">
        <v>25401.07</v>
      </c>
      <c r="J161" s="77">
        <v>25267.77</v>
      </c>
      <c r="K161" s="77">
        <v>25309.65</v>
      </c>
      <c r="L161" s="99"/>
      <c r="M161" s="99"/>
      <c r="N161" s="99"/>
      <c r="O161" s="99"/>
      <c r="P161" s="99"/>
      <c r="Q161" s="100"/>
      <c r="R161" s="101"/>
      <c r="T161" s="97">
        <v>9000</v>
      </c>
      <c r="U161" s="77">
        <v>8090</v>
      </c>
      <c r="V161" s="77">
        <v>12070</v>
      </c>
    </row>
    <row r="162" spans="1:23" ht="15.75" thickBot="1">
      <c r="A162" s="108"/>
      <c r="B162" s="22" t="s">
        <v>136</v>
      </c>
      <c r="C162" s="23">
        <f t="shared" ref="C162:K162" si="50">IF(((C160="")*AND(C161="")),"",(C160-C161)*3)</f>
        <v>10308.689999999999</v>
      </c>
      <c r="D162" s="23">
        <f t="shared" si="50"/>
        <v>10510.680000000004</v>
      </c>
      <c r="E162" s="23">
        <f t="shared" si="50"/>
        <v>10463.850000000002</v>
      </c>
      <c r="F162" s="23">
        <f t="shared" si="50"/>
        <v>10761</v>
      </c>
      <c r="G162" s="23">
        <f t="shared" si="50"/>
        <v>10711.860000000008</v>
      </c>
      <c r="H162" s="23">
        <f t="shared" si="50"/>
        <v>9875.1599999999926</v>
      </c>
      <c r="I162" s="23">
        <f t="shared" si="50"/>
        <v>10383.540000000001</v>
      </c>
      <c r="J162" s="23">
        <f t="shared" si="50"/>
        <v>10833.239999999994</v>
      </c>
      <c r="K162" s="23">
        <f t="shared" si="50"/>
        <v>11435.069999999996</v>
      </c>
      <c r="L162" s="103"/>
      <c r="M162" s="103"/>
      <c r="N162" s="103"/>
      <c r="O162" s="103"/>
      <c r="P162" s="103"/>
      <c r="Q162" s="104"/>
      <c r="R162" s="105"/>
      <c r="T162" s="97">
        <v>9000</v>
      </c>
      <c r="U162" s="77">
        <v>8090</v>
      </c>
      <c r="V162" s="77">
        <v>12070</v>
      </c>
    </row>
    <row r="163" spans="1:23">
      <c r="A163" s="106">
        <v>42954</v>
      </c>
      <c r="B163" s="20" t="s">
        <v>133</v>
      </c>
      <c r="C163" s="77">
        <v>29331.66</v>
      </c>
      <c r="D163" s="77">
        <v>29116.71</v>
      </c>
      <c r="E163" s="77">
        <v>29122.67</v>
      </c>
      <c r="F163" s="77">
        <v>29103.23</v>
      </c>
      <c r="G163" s="77">
        <v>29359.05</v>
      </c>
      <c r="H163" s="77">
        <v>29297.66</v>
      </c>
      <c r="I163" s="77">
        <v>29114.38</v>
      </c>
      <c r="J163" s="77">
        <v>29094.67</v>
      </c>
      <c r="K163" s="77">
        <v>29313.33</v>
      </c>
      <c r="L163" s="94">
        <f>IF((K164=""),"",MAX(C165:K165))</f>
        <v>10256.220000000005</v>
      </c>
      <c r="M163" s="94">
        <f>IF(K164="","",MIN(C165:K165))</f>
        <v>8756.5499999999956</v>
      </c>
      <c r="N163" s="94">
        <f>IF((K165=""),"",AVERAGE(C165:K165))</f>
        <v>9534.0433333333294</v>
      </c>
      <c r="O163" s="94">
        <f>IF((K164=""),"",STDEV(C165:K165))</f>
        <v>454.8514547355266</v>
      </c>
      <c r="P163" s="94">
        <f>IF((K164=""),"",O163/N163*100)</f>
        <v>4.7708137967577251</v>
      </c>
      <c r="Q163" s="95" t="str">
        <f>IF(K164="","",IF(P163&lt;15,IF(N163&gt;9000,IF(N163&lt;15600,"Pass","Fail"),"Fail"),"Fail"))</f>
        <v>Pass</v>
      </c>
      <c r="R163" s="96">
        <v>1428</v>
      </c>
      <c r="S163" s="77" t="s">
        <v>172</v>
      </c>
      <c r="T163" s="97">
        <v>9000</v>
      </c>
      <c r="U163" s="77">
        <v>8090</v>
      </c>
      <c r="V163" s="77">
        <v>12070</v>
      </c>
      <c r="W163" s="77">
        <v>6</v>
      </c>
    </row>
    <row r="164" spans="1:23">
      <c r="A164" s="107"/>
      <c r="B164" s="21" t="s">
        <v>135</v>
      </c>
      <c r="C164" s="77">
        <v>26251.46</v>
      </c>
      <c r="D164" s="77">
        <v>25984.04</v>
      </c>
      <c r="E164" s="77">
        <v>25998.11</v>
      </c>
      <c r="F164" s="77">
        <v>25833.43</v>
      </c>
      <c r="G164" s="77">
        <v>26042.11</v>
      </c>
      <c r="H164" s="77">
        <v>26378.81</v>
      </c>
      <c r="I164" s="77">
        <v>26034.91</v>
      </c>
      <c r="J164" s="77">
        <v>25833.77</v>
      </c>
      <c r="K164" s="77">
        <v>25894.59</v>
      </c>
      <c r="L164" s="99"/>
      <c r="M164" s="99"/>
      <c r="N164" s="99"/>
      <c r="O164" s="99"/>
      <c r="P164" s="99"/>
      <c r="Q164" s="100"/>
      <c r="R164" s="101"/>
      <c r="S164" s="77" t="s">
        <v>173</v>
      </c>
      <c r="T164" s="97">
        <v>9000</v>
      </c>
      <c r="U164" s="77">
        <v>8090</v>
      </c>
      <c r="V164" s="77">
        <v>12070</v>
      </c>
    </row>
    <row r="165" spans="1:23" ht="15.75" thickBot="1">
      <c r="A165" s="108"/>
      <c r="B165" s="22" t="s">
        <v>136</v>
      </c>
      <c r="C165" s="23">
        <f t="shared" ref="C165:K165" si="51">IF(((C163="")*AND(C164="")),"",(C163-C164)*3)</f>
        <v>9240.6000000000022</v>
      </c>
      <c r="D165" s="23">
        <f t="shared" si="51"/>
        <v>9398.0099999999948</v>
      </c>
      <c r="E165" s="23">
        <f t="shared" si="51"/>
        <v>9373.679999999993</v>
      </c>
      <c r="F165" s="23">
        <f t="shared" si="51"/>
        <v>9809.3999999999978</v>
      </c>
      <c r="G165" s="23">
        <f t="shared" si="51"/>
        <v>9950.8199999999961</v>
      </c>
      <c r="H165" s="23">
        <f t="shared" si="51"/>
        <v>8756.5499999999956</v>
      </c>
      <c r="I165" s="23">
        <f t="shared" si="51"/>
        <v>9238.4100000000035</v>
      </c>
      <c r="J165" s="23">
        <f t="shared" si="51"/>
        <v>9782.6999999999935</v>
      </c>
      <c r="K165" s="23">
        <f t="shared" si="51"/>
        <v>10256.220000000005</v>
      </c>
      <c r="L165" s="103"/>
      <c r="M165" s="103"/>
      <c r="N165" s="103"/>
      <c r="O165" s="103"/>
      <c r="P165" s="103"/>
      <c r="Q165" s="104"/>
      <c r="R165" s="105"/>
      <c r="T165" s="97">
        <v>9000</v>
      </c>
      <c r="U165" s="77">
        <v>8090</v>
      </c>
      <c r="V165" s="77">
        <v>12070</v>
      </c>
    </row>
    <row r="166" spans="1:23">
      <c r="A166" s="106">
        <v>42957</v>
      </c>
      <c r="B166" s="20" t="s">
        <v>133</v>
      </c>
      <c r="C166" s="77">
        <v>28969.24</v>
      </c>
      <c r="D166" s="77">
        <v>28838.85</v>
      </c>
      <c r="E166" s="77">
        <v>28842.01</v>
      </c>
      <c r="F166" s="77">
        <v>28829.34</v>
      </c>
      <c r="G166" s="77">
        <v>29046.62</v>
      </c>
      <c r="H166" s="77">
        <v>29116.63</v>
      </c>
      <c r="I166" s="77">
        <v>28843.23</v>
      </c>
      <c r="J166" s="77">
        <v>28816.71</v>
      </c>
      <c r="K166" s="77">
        <v>29091.18</v>
      </c>
      <c r="L166" s="94">
        <f>IF((K167=""),"",MAX(C168:K168))</f>
        <v>10470.540000000001</v>
      </c>
      <c r="M166" s="94">
        <f>IF(K167="","",MIN(C168:K168))</f>
        <v>8533.5300000000061</v>
      </c>
      <c r="N166" s="94">
        <f>IF((K168=""),"",AVERAGE(C168:K168))</f>
        <v>9121</v>
      </c>
      <c r="O166" s="94">
        <f>IF((K167=""),"",STDEV(C168:K168))</f>
        <v>603.36967660793528</v>
      </c>
      <c r="P166" s="94">
        <f>IF((K167=""),"",O166/N166*100)</f>
        <v>6.615170229228541</v>
      </c>
      <c r="Q166" s="95" t="str">
        <f>IF(K167="","",IF(P166&lt;15,IF(N166&gt;9000,IF(N166&lt;15600,"Pass","Fail"),"Fail"),"Fail"))</f>
        <v>Pass</v>
      </c>
      <c r="R166" s="96">
        <v>1428</v>
      </c>
      <c r="S166" s="77" t="s">
        <v>174</v>
      </c>
      <c r="T166" s="97">
        <v>9000</v>
      </c>
      <c r="U166" s="77">
        <v>8090</v>
      </c>
      <c r="V166" s="77">
        <v>12070</v>
      </c>
      <c r="W166" s="77">
        <v>6</v>
      </c>
    </row>
    <row r="167" spans="1:23">
      <c r="A167" s="107"/>
      <c r="B167" s="21" t="s">
        <v>135</v>
      </c>
      <c r="C167" s="77">
        <v>26124.73</v>
      </c>
      <c r="D167" s="77">
        <v>25892.42</v>
      </c>
      <c r="E167" s="77">
        <v>25905.29</v>
      </c>
      <c r="F167" s="77">
        <v>25754.59</v>
      </c>
      <c r="G167" s="77">
        <v>25862.959999999999</v>
      </c>
      <c r="H167" s="77">
        <v>26257.040000000001</v>
      </c>
      <c r="I167" s="77">
        <v>25890.95</v>
      </c>
      <c r="J167" s="77">
        <v>25741.83</v>
      </c>
      <c r="K167" s="77">
        <v>25601</v>
      </c>
      <c r="L167" s="99"/>
      <c r="M167" s="99"/>
      <c r="N167" s="99"/>
      <c r="O167" s="99"/>
      <c r="P167" s="99"/>
      <c r="Q167" s="100"/>
      <c r="R167" s="101"/>
      <c r="T167" s="97">
        <v>9000</v>
      </c>
      <c r="U167" s="77">
        <v>8090</v>
      </c>
      <c r="V167" s="77">
        <v>12070</v>
      </c>
    </row>
    <row r="168" spans="1:23" ht="15.75" thickBot="1">
      <c r="A168" s="108"/>
      <c r="B168" s="22" t="s">
        <v>136</v>
      </c>
      <c r="C168" s="23">
        <f t="shared" ref="C168:K168" si="52">IF(((C166="")*AND(C167="")),"",(C166-C167)*3)</f>
        <v>8533.5300000000061</v>
      </c>
      <c r="D168" s="23">
        <f t="shared" si="52"/>
        <v>8839.2900000000009</v>
      </c>
      <c r="E168" s="23">
        <f t="shared" si="52"/>
        <v>8810.1599999999926</v>
      </c>
      <c r="F168" s="23">
        <f t="shared" si="52"/>
        <v>9224.25</v>
      </c>
      <c r="G168" s="23">
        <f t="shared" si="52"/>
        <v>9550.98</v>
      </c>
      <c r="H168" s="23">
        <f t="shared" si="52"/>
        <v>8578.77</v>
      </c>
      <c r="I168" s="23">
        <f t="shared" si="52"/>
        <v>8856.8399999999965</v>
      </c>
      <c r="J168" s="23">
        <f t="shared" si="52"/>
        <v>9224.6399999999921</v>
      </c>
      <c r="K168" s="23">
        <f t="shared" si="52"/>
        <v>10470.540000000001</v>
      </c>
      <c r="L168" s="103"/>
      <c r="M168" s="103"/>
      <c r="N168" s="103"/>
      <c r="O168" s="103"/>
      <c r="P168" s="103"/>
      <c r="Q168" s="104"/>
      <c r="R168" s="105"/>
      <c r="T168" s="97">
        <v>9000</v>
      </c>
      <c r="U168" s="77">
        <v>8090</v>
      </c>
      <c r="V168" s="77">
        <v>12070</v>
      </c>
    </row>
    <row r="169" spans="1:23">
      <c r="A169" s="106"/>
      <c r="B169" s="20" t="s">
        <v>133</v>
      </c>
      <c r="L169" s="94" t="str">
        <f>IF((K170=""),"",MAX(C171:K171))</f>
        <v/>
      </c>
      <c r="M169" s="94" t="str">
        <f>IF(K170="","",MIN(C171:K171))</f>
        <v/>
      </c>
      <c r="N169" s="94" t="str">
        <f>IF((K171=""),"",AVERAGE(C171:K171))</f>
        <v/>
      </c>
      <c r="O169" s="94" t="str">
        <f>IF((K170=""),"",STDEV(C171:K171))</f>
        <v/>
      </c>
      <c r="P169" s="94" t="str">
        <f>IF((K170=""),"",O169/N169*100)</f>
        <v/>
      </c>
      <c r="Q169" s="95" t="str">
        <f>IF(K170="","",IF(P169&lt;15,IF(N169&gt;9000,IF(N169&lt;15600,"Pass","Fail"),"Fail"),"Fail"))</f>
        <v/>
      </c>
      <c r="R169" s="96"/>
      <c r="T169" s="97">
        <v>9000</v>
      </c>
      <c r="U169" s="77">
        <v>8090</v>
      </c>
      <c r="V169" s="77">
        <v>12070</v>
      </c>
    </row>
    <row r="170" spans="1:23">
      <c r="A170" s="107"/>
      <c r="B170" s="21" t="s">
        <v>135</v>
      </c>
      <c r="L170" s="99"/>
      <c r="M170" s="99"/>
      <c r="N170" s="99"/>
      <c r="O170" s="99"/>
      <c r="P170" s="99"/>
      <c r="Q170" s="100"/>
      <c r="R170" s="101"/>
      <c r="T170" s="97">
        <v>9000</v>
      </c>
      <c r="U170" s="77">
        <v>8090</v>
      </c>
      <c r="V170" s="77">
        <v>12070</v>
      </c>
    </row>
    <row r="171" spans="1:23" ht="15.75" thickBot="1">
      <c r="A171" s="108"/>
      <c r="B171" s="22" t="s">
        <v>136</v>
      </c>
      <c r="C171" s="23" t="str">
        <f t="shared" ref="C171:K171" si="53">IF(((C169="")*AND(C170="")),"",(C169-C170)*3)</f>
        <v/>
      </c>
      <c r="D171" s="23" t="str">
        <f t="shared" si="53"/>
        <v/>
      </c>
      <c r="E171" s="23" t="str">
        <f t="shared" si="53"/>
        <v/>
      </c>
      <c r="F171" s="23" t="str">
        <f t="shared" si="53"/>
        <v/>
      </c>
      <c r="G171" s="23" t="str">
        <f t="shared" si="53"/>
        <v/>
      </c>
      <c r="H171" s="23" t="str">
        <f t="shared" si="53"/>
        <v/>
      </c>
      <c r="I171" s="23" t="str">
        <f t="shared" si="53"/>
        <v/>
      </c>
      <c r="J171" s="23" t="str">
        <f t="shared" si="53"/>
        <v/>
      </c>
      <c r="K171" s="23" t="str">
        <f t="shared" si="53"/>
        <v/>
      </c>
      <c r="L171" s="103"/>
      <c r="M171" s="103"/>
      <c r="N171" s="103"/>
      <c r="O171" s="103"/>
      <c r="P171" s="103"/>
      <c r="Q171" s="104"/>
      <c r="R171" s="105"/>
      <c r="T171" s="97">
        <v>9000</v>
      </c>
      <c r="U171" s="77">
        <v>8090</v>
      </c>
      <c r="V171" s="77">
        <v>12070</v>
      </c>
    </row>
    <row r="172" spans="1:23">
      <c r="A172" s="106">
        <v>42969</v>
      </c>
      <c r="B172" s="20" t="s">
        <v>133</v>
      </c>
      <c r="C172" s="77">
        <v>28936.14</v>
      </c>
      <c r="D172" s="77">
        <v>28815.5</v>
      </c>
      <c r="E172" s="77">
        <v>28865.48</v>
      </c>
      <c r="F172" s="77">
        <v>28828.76</v>
      </c>
      <c r="G172" s="77">
        <v>29035.41</v>
      </c>
      <c r="H172" s="77">
        <v>28997.56</v>
      </c>
      <c r="I172" s="77">
        <v>28810.43</v>
      </c>
      <c r="J172" s="77">
        <v>28810.55</v>
      </c>
      <c r="K172" s="77">
        <v>29040.46</v>
      </c>
      <c r="L172" s="94">
        <f>IF((K173=""),"",MAX(C174:K174))</f>
        <v>9865.4699999999939</v>
      </c>
      <c r="M172" s="94">
        <f>IF(K173="","",MIN(C174:K174))</f>
        <v>8128.4399999999987</v>
      </c>
      <c r="N172" s="94">
        <f>IF((K174=""),"",AVERAGE(C174:K174))</f>
        <v>8989.18</v>
      </c>
      <c r="O172" s="94">
        <f>IF((K173=""),"",STDEV(C174:K174))</f>
        <v>527.09578555516612</v>
      </c>
      <c r="P172" s="94">
        <f>IF((K173=""),"",O172/N172*100)</f>
        <v>5.8636692730056144</v>
      </c>
      <c r="Q172" s="95" t="str">
        <f>IF(K173="","",IF(P172&lt;15,IF(N172&gt;9000,IF(N172&lt;15600,"Pass","Fail"),"Fail"),"Fail"))</f>
        <v>Fail</v>
      </c>
      <c r="R172" s="96">
        <v>1159</v>
      </c>
      <c r="T172" s="97">
        <v>9000</v>
      </c>
      <c r="U172" s="77">
        <v>8090</v>
      </c>
      <c r="V172" s="77">
        <v>12070</v>
      </c>
      <c r="W172" s="77">
        <v>6</v>
      </c>
    </row>
    <row r="173" spans="1:23">
      <c r="A173" s="107"/>
      <c r="B173" s="21" t="s">
        <v>135</v>
      </c>
      <c r="C173" s="77">
        <v>26097.01</v>
      </c>
      <c r="D173" s="77">
        <v>25858.639999999999</v>
      </c>
      <c r="E173" s="77">
        <v>25911.87</v>
      </c>
      <c r="F173" s="77">
        <v>25740.44</v>
      </c>
      <c r="G173" s="77">
        <v>25914.37</v>
      </c>
      <c r="H173" s="77">
        <v>26288.080000000002</v>
      </c>
      <c r="I173" s="77">
        <v>25921.42</v>
      </c>
      <c r="J173" s="77">
        <v>25688.95</v>
      </c>
      <c r="K173" s="77">
        <v>25751.97</v>
      </c>
      <c r="L173" s="99"/>
      <c r="M173" s="99"/>
      <c r="N173" s="99"/>
      <c r="O173" s="99"/>
      <c r="P173" s="99"/>
      <c r="Q173" s="100"/>
      <c r="R173" s="101"/>
      <c r="T173" s="97">
        <v>9000</v>
      </c>
      <c r="U173" s="77">
        <v>8090</v>
      </c>
      <c r="V173" s="77">
        <v>12070</v>
      </c>
    </row>
    <row r="174" spans="1:23" ht="15.75" thickBot="1">
      <c r="A174" s="108"/>
      <c r="B174" s="22" t="s">
        <v>136</v>
      </c>
      <c r="C174" s="23">
        <f t="shared" ref="C174:K174" si="54">IF(((C172="")*AND(C173="")),"",(C172-C173)*3)</f>
        <v>8517.3900000000031</v>
      </c>
      <c r="D174" s="23">
        <f t="shared" si="54"/>
        <v>8870.5800000000017</v>
      </c>
      <c r="E174" s="23">
        <f t="shared" si="54"/>
        <v>8860.8300000000017</v>
      </c>
      <c r="F174" s="23">
        <f t="shared" si="54"/>
        <v>9264.9599999999991</v>
      </c>
      <c r="G174" s="23">
        <f t="shared" si="54"/>
        <v>9363.1200000000026</v>
      </c>
      <c r="H174" s="23">
        <f t="shared" si="54"/>
        <v>8128.4399999999987</v>
      </c>
      <c r="I174" s="23">
        <f t="shared" si="54"/>
        <v>8667.0300000000061</v>
      </c>
      <c r="J174" s="23">
        <f t="shared" si="54"/>
        <v>9364.7999999999956</v>
      </c>
      <c r="K174" s="23">
        <f t="shared" si="54"/>
        <v>9865.4699999999939</v>
      </c>
      <c r="L174" s="103"/>
      <c r="M174" s="103"/>
      <c r="N174" s="103"/>
      <c r="O174" s="103"/>
      <c r="P174" s="103"/>
      <c r="Q174" s="104"/>
      <c r="R174" s="105"/>
      <c r="T174" s="97">
        <v>9000</v>
      </c>
      <c r="U174" s="77">
        <v>8090</v>
      </c>
      <c r="V174" s="77">
        <v>12070</v>
      </c>
    </row>
    <row r="175" spans="1:23">
      <c r="A175" s="106">
        <v>42969</v>
      </c>
      <c r="B175" s="20" t="s">
        <v>133</v>
      </c>
      <c r="C175" s="77">
        <v>29175</v>
      </c>
      <c r="D175" s="77">
        <v>29011</v>
      </c>
      <c r="E175" s="77">
        <v>29055</v>
      </c>
      <c r="F175" s="77">
        <v>29017</v>
      </c>
      <c r="G175" s="77">
        <v>29231</v>
      </c>
      <c r="H175" s="77">
        <v>29173</v>
      </c>
      <c r="I175" s="77">
        <v>28995</v>
      </c>
      <c r="J175" s="77">
        <v>29009</v>
      </c>
      <c r="K175" s="77">
        <v>29190</v>
      </c>
      <c r="L175" s="94">
        <f>IF((K176=""),"",MAX(C177:K177))</f>
        <v>9507</v>
      </c>
      <c r="M175" s="94">
        <f>IF(K176="","",MIN(C177:K177))</f>
        <v>8124</v>
      </c>
      <c r="N175" s="94">
        <f>IF((K177=""),"",AVERAGE(C177:K177))</f>
        <v>9067.3333333333339</v>
      </c>
      <c r="O175" s="94">
        <f>IF((K176=""),"",STDEV(C177:K177))</f>
        <v>448.36480682587029</v>
      </c>
      <c r="P175" s="94">
        <f>IF((K176=""),"",O175/N175*100)</f>
        <v>4.9448364843673653</v>
      </c>
      <c r="Q175" s="95" t="str">
        <f>IF(K176="","",IF(P175&lt;15,IF(N175&gt;9000,IF(N175&lt;15600,"Pass","Fail"),"Fail"),"Fail"))</f>
        <v>Pass</v>
      </c>
      <c r="R175" s="96">
        <v>1159</v>
      </c>
      <c r="S175" s="77" t="s">
        <v>175</v>
      </c>
      <c r="T175" s="97">
        <v>9000</v>
      </c>
      <c r="U175" s="77">
        <v>8090</v>
      </c>
      <c r="V175" s="77">
        <v>12070</v>
      </c>
      <c r="W175" s="77">
        <v>6</v>
      </c>
    </row>
    <row r="176" spans="1:23">
      <c r="A176" s="107"/>
      <c r="B176" s="21" t="s">
        <v>135</v>
      </c>
      <c r="C176" s="77">
        <v>26467</v>
      </c>
      <c r="D176" s="77">
        <v>26079</v>
      </c>
      <c r="E176" s="77">
        <v>26018</v>
      </c>
      <c r="F176" s="77">
        <v>25871</v>
      </c>
      <c r="G176" s="77">
        <v>26082</v>
      </c>
      <c r="H176" s="77">
        <v>26247</v>
      </c>
      <c r="I176" s="77">
        <v>25979</v>
      </c>
      <c r="J176" s="77">
        <v>25890</v>
      </c>
      <c r="K176" s="77">
        <v>26021</v>
      </c>
      <c r="L176" s="99"/>
      <c r="M176" s="99"/>
      <c r="N176" s="99"/>
      <c r="O176" s="99"/>
      <c r="P176" s="99"/>
      <c r="Q176" s="100"/>
      <c r="R176" s="101"/>
      <c r="T176" s="97">
        <v>9000</v>
      </c>
      <c r="U176" s="77">
        <v>8090</v>
      </c>
      <c r="V176" s="77">
        <v>12070</v>
      </c>
    </row>
    <row r="177" spans="1:23" ht="15.75" thickBot="1">
      <c r="A177" s="108"/>
      <c r="B177" s="22" t="s">
        <v>136</v>
      </c>
      <c r="C177" s="23">
        <f t="shared" ref="C177:K177" si="55">IF(((C175="")*AND(C176="")),"",(C175-C176)*3)</f>
        <v>8124</v>
      </c>
      <c r="D177" s="23">
        <f t="shared" si="55"/>
        <v>8796</v>
      </c>
      <c r="E177" s="23">
        <f t="shared" si="55"/>
        <v>9111</v>
      </c>
      <c r="F177" s="23">
        <f t="shared" si="55"/>
        <v>9438</v>
      </c>
      <c r="G177" s="23">
        <f t="shared" si="55"/>
        <v>9447</v>
      </c>
      <c r="H177" s="23">
        <f t="shared" si="55"/>
        <v>8778</v>
      </c>
      <c r="I177" s="23">
        <f t="shared" si="55"/>
        <v>9048</v>
      </c>
      <c r="J177" s="23">
        <f t="shared" si="55"/>
        <v>9357</v>
      </c>
      <c r="K177" s="23">
        <f t="shared" si="55"/>
        <v>9507</v>
      </c>
      <c r="L177" s="103"/>
      <c r="M177" s="103"/>
      <c r="N177" s="103"/>
      <c r="O177" s="103"/>
      <c r="P177" s="103"/>
      <c r="Q177" s="104"/>
      <c r="R177" s="105"/>
      <c r="T177" s="97">
        <v>9000</v>
      </c>
      <c r="U177" s="77">
        <v>8090</v>
      </c>
      <c r="V177" s="77">
        <v>12070</v>
      </c>
    </row>
    <row r="178" spans="1:23">
      <c r="A178" s="106">
        <v>42970</v>
      </c>
      <c r="B178" s="20" t="s">
        <v>133</v>
      </c>
      <c r="C178" s="77">
        <v>29258.09</v>
      </c>
      <c r="D178" s="77">
        <v>29048.79</v>
      </c>
      <c r="E178" s="77">
        <v>29074.87</v>
      </c>
      <c r="F178" s="77">
        <v>29029.46</v>
      </c>
      <c r="G178" s="77">
        <v>29215.74</v>
      </c>
      <c r="H178" s="77">
        <v>29193.09</v>
      </c>
      <c r="I178" s="77">
        <v>29028.5</v>
      </c>
      <c r="J178" s="77">
        <v>29017.27</v>
      </c>
      <c r="K178" s="77">
        <v>29241.13</v>
      </c>
      <c r="L178" s="94">
        <f>IF((K179=""),"",MAX(C180:K180))</f>
        <v>9700.4100000000035</v>
      </c>
      <c r="M178" s="94">
        <f>IF(K179="","",MIN(C180:K180))</f>
        <v>8274.7200000000048</v>
      </c>
      <c r="N178" s="94">
        <f>IF((K180=""),"",AVERAGE(C180:K180))</f>
        <v>8979.0999999999985</v>
      </c>
      <c r="O178" s="94">
        <f>IF((K179=""),"",STDEV(C180:K180))</f>
        <v>467.7286278121656</v>
      </c>
      <c r="P178" s="94">
        <f>IF((K179=""),"",O178/N178*100)</f>
        <v>5.2090813980484203</v>
      </c>
      <c r="Q178" s="95" t="str">
        <f>IF(K179="","",IF(P178&lt;15,IF(N178&gt;9000,IF(N178&lt;15600,"Pass","Fail"),"Fail"),"Fail"))</f>
        <v>Fail</v>
      </c>
      <c r="R178" s="96">
        <v>1159</v>
      </c>
      <c r="S178" s="77" t="s">
        <v>176</v>
      </c>
      <c r="T178" s="97">
        <v>9000</v>
      </c>
      <c r="U178" s="77">
        <v>8090</v>
      </c>
      <c r="V178" s="77">
        <v>12070</v>
      </c>
      <c r="W178" s="77">
        <v>6</v>
      </c>
    </row>
    <row r="179" spans="1:23">
      <c r="A179" s="107"/>
      <c r="B179" s="21" t="s">
        <v>135</v>
      </c>
      <c r="C179" s="77">
        <v>26437.09</v>
      </c>
      <c r="D179" s="77">
        <v>26111.73</v>
      </c>
      <c r="E179" s="77">
        <v>26119.59</v>
      </c>
      <c r="F179" s="77">
        <v>25931.08</v>
      </c>
      <c r="G179" s="77">
        <v>26088.080000000002</v>
      </c>
      <c r="H179" s="77">
        <v>26434.85</v>
      </c>
      <c r="I179" s="77">
        <v>26120.12</v>
      </c>
      <c r="J179" s="77">
        <v>25919.439999999999</v>
      </c>
      <c r="K179" s="77">
        <v>26007.66</v>
      </c>
      <c r="L179" s="99"/>
      <c r="M179" s="99"/>
      <c r="N179" s="99"/>
      <c r="O179" s="99"/>
      <c r="P179" s="99"/>
      <c r="Q179" s="100"/>
      <c r="R179" s="101"/>
      <c r="T179" s="97">
        <v>9000</v>
      </c>
      <c r="U179" s="77">
        <v>8090</v>
      </c>
      <c r="V179" s="77">
        <v>12070</v>
      </c>
    </row>
    <row r="180" spans="1:23" ht="15.75" thickBot="1">
      <c r="A180" s="108"/>
      <c r="B180" s="22" t="s">
        <v>136</v>
      </c>
      <c r="C180" s="23">
        <f t="shared" ref="C180:K180" si="56">IF(((C178="")*AND(C179="")),"",(C178-C179)*3)</f>
        <v>8463</v>
      </c>
      <c r="D180" s="23">
        <f t="shared" si="56"/>
        <v>8811.1800000000039</v>
      </c>
      <c r="E180" s="23">
        <f t="shared" si="56"/>
        <v>8865.8399999999965</v>
      </c>
      <c r="F180" s="23">
        <f t="shared" si="56"/>
        <v>9295.1399999999921</v>
      </c>
      <c r="G180" s="23">
        <f t="shared" si="56"/>
        <v>9382.98</v>
      </c>
      <c r="H180" s="23">
        <f t="shared" si="56"/>
        <v>8274.7200000000048</v>
      </c>
      <c r="I180" s="23">
        <f t="shared" si="56"/>
        <v>8725.1400000000031</v>
      </c>
      <c r="J180" s="23">
        <f t="shared" si="56"/>
        <v>9293.4900000000052</v>
      </c>
      <c r="K180" s="23">
        <f t="shared" si="56"/>
        <v>9700.4100000000035</v>
      </c>
      <c r="L180" s="103"/>
      <c r="M180" s="103"/>
      <c r="N180" s="103"/>
      <c r="O180" s="103"/>
      <c r="P180" s="103"/>
      <c r="Q180" s="104"/>
      <c r="R180" s="105"/>
      <c r="T180" s="97">
        <v>9000</v>
      </c>
      <c r="U180" s="77">
        <v>8090</v>
      </c>
      <c r="V180" s="77">
        <v>12070</v>
      </c>
    </row>
    <row r="181" spans="1:23">
      <c r="A181" s="106">
        <v>42970</v>
      </c>
      <c r="B181" s="20" t="s">
        <v>133</v>
      </c>
      <c r="C181" s="77">
        <v>29200.39</v>
      </c>
      <c r="D181" s="77">
        <v>29035.67</v>
      </c>
      <c r="E181" s="77">
        <v>29024.31</v>
      </c>
      <c r="F181" s="77">
        <v>29040.560000000001</v>
      </c>
      <c r="G181" s="77">
        <v>29275.55</v>
      </c>
      <c r="H181" s="77">
        <v>29224.38</v>
      </c>
      <c r="I181" s="77">
        <v>29020.83</v>
      </c>
      <c r="J181" s="77">
        <v>29025.439999999999</v>
      </c>
      <c r="K181" s="77">
        <v>29253.57</v>
      </c>
      <c r="L181" s="94">
        <f>IF((K182=""),"",MAX(C183:K183))</f>
        <v>15819.629999999997</v>
      </c>
      <c r="M181" s="94">
        <f>IF(K182="","",MIN(C183:K183))</f>
        <v>12386.760000000006</v>
      </c>
      <c r="N181" s="94">
        <f>IF((K183=""),"",AVERAGE(C183:K183))</f>
        <v>14267.833333333334</v>
      </c>
      <c r="O181" s="94">
        <f>IF((K182=""),"",STDEV(C183:K183))</f>
        <v>1041.3736440154273</v>
      </c>
      <c r="P181" s="94">
        <f>IF((K182=""),"",O181/N181*100)</f>
        <v>7.2987511115826544</v>
      </c>
      <c r="Q181" s="95" t="str">
        <f>IF(K182="","",IF(P181&lt;15,IF(N181&gt;9000,IF(N181&lt;15600,"Pass","Fail"),"Fail"),"Fail"))</f>
        <v>Pass</v>
      </c>
      <c r="R181" s="96">
        <v>1159</v>
      </c>
      <c r="S181" s="77" t="s">
        <v>177</v>
      </c>
      <c r="T181" s="97">
        <v>9000</v>
      </c>
      <c r="U181" s="77">
        <v>8090</v>
      </c>
      <c r="V181" s="77">
        <v>12070</v>
      </c>
      <c r="W181" s="77">
        <v>6</v>
      </c>
    </row>
    <row r="182" spans="1:23">
      <c r="A182" s="107"/>
      <c r="B182" s="21" t="s">
        <v>135</v>
      </c>
      <c r="C182" s="77">
        <v>24792.07</v>
      </c>
      <c r="D182" s="77">
        <v>24342.68</v>
      </c>
      <c r="E182" s="77">
        <v>24219.95</v>
      </c>
      <c r="F182" s="77">
        <v>24064.86</v>
      </c>
      <c r="G182" s="77">
        <v>24368.22</v>
      </c>
      <c r="H182" s="77">
        <v>25095.46</v>
      </c>
      <c r="I182" s="77">
        <v>24437.88</v>
      </c>
      <c r="J182" s="77">
        <v>23995.72</v>
      </c>
      <c r="K182" s="77">
        <v>23980.36</v>
      </c>
      <c r="L182" s="99"/>
      <c r="M182" s="99"/>
      <c r="N182" s="99"/>
      <c r="O182" s="99"/>
      <c r="P182" s="99"/>
      <c r="Q182" s="100"/>
      <c r="R182" s="101"/>
      <c r="T182" s="97">
        <v>9000</v>
      </c>
      <c r="U182" s="77">
        <v>8090</v>
      </c>
      <c r="V182" s="77">
        <v>12070</v>
      </c>
    </row>
    <row r="183" spans="1:23" ht="15.75" thickBot="1">
      <c r="A183" s="108"/>
      <c r="B183" s="22" t="s">
        <v>136</v>
      </c>
      <c r="C183" s="23">
        <f t="shared" ref="C183:K183" si="57">IF(((C181="")*AND(C182="")),"",(C181-C182)*3)</f>
        <v>13224.96</v>
      </c>
      <c r="D183" s="23">
        <f t="shared" si="57"/>
        <v>14078.969999999994</v>
      </c>
      <c r="E183" s="23">
        <f t="shared" si="57"/>
        <v>14413.080000000002</v>
      </c>
      <c r="F183" s="23">
        <f t="shared" si="57"/>
        <v>14927.100000000002</v>
      </c>
      <c r="G183" s="23">
        <f t="shared" si="57"/>
        <v>14721.989999999994</v>
      </c>
      <c r="H183" s="23">
        <f t="shared" si="57"/>
        <v>12386.760000000006</v>
      </c>
      <c r="I183" s="23">
        <f t="shared" si="57"/>
        <v>13748.850000000002</v>
      </c>
      <c r="J183" s="23">
        <f t="shared" si="57"/>
        <v>15089.159999999993</v>
      </c>
      <c r="K183" s="23">
        <f t="shared" si="57"/>
        <v>15819.629999999997</v>
      </c>
      <c r="L183" s="103"/>
      <c r="M183" s="103"/>
      <c r="N183" s="103"/>
      <c r="O183" s="103"/>
      <c r="P183" s="103"/>
      <c r="Q183" s="104"/>
      <c r="R183" s="105"/>
      <c r="T183" s="97">
        <v>9000</v>
      </c>
      <c r="U183" s="77">
        <v>8090</v>
      </c>
      <c r="V183" s="77">
        <v>12070</v>
      </c>
    </row>
    <row r="184" spans="1:23">
      <c r="A184" s="106">
        <v>42970</v>
      </c>
      <c r="B184" s="20" t="s">
        <v>133</v>
      </c>
      <c r="C184" s="77">
        <v>29171.13</v>
      </c>
      <c r="D184" s="77">
        <v>29022.94</v>
      </c>
      <c r="E184" s="77">
        <v>29076.63</v>
      </c>
      <c r="F184" s="77">
        <v>29016.43</v>
      </c>
      <c r="G184" s="77">
        <v>29246.7</v>
      </c>
      <c r="H184" s="77">
        <v>29169.18</v>
      </c>
      <c r="I184" s="77">
        <v>28993.439999999999</v>
      </c>
      <c r="J184" s="77">
        <v>29016.55</v>
      </c>
      <c r="K184" s="77">
        <v>29251.86</v>
      </c>
      <c r="L184" s="94">
        <f>IF((K185=""),"",MAX(C186:K186))</f>
        <v>9993.8100000000013</v>
      </c>
      <c r="M184" s="94">
        <f>IF(K185="","",MIN(C186:K186))</f>
        <v>8432.8799999999974</v>
      </c>
      <c r="N184" s="94">
        <f>IF((K186=""),"",AVERAGE(C186:K186))</f>
        <v>9253.8166666666675</v>
      </c>
      <c r="O184" s="94">
        <f>IF((K185=""),"",STDEV(C186:K186))</f>
        <v>481.12963141444061</v>
      </c>
      <c r="P184" s="94">
        <f>IF((K185=""),"",O184/N184*100)</f>
        <v>5.1992561420362469</v>
      </c>
      <c r="Q184" s="95" t="str">
        <f>IF(K185="","",IF(P184&lt;15,IF(N184&gt;9000,IF(N184&lt;15600,"Pass","Fail"),"Fail"),"Fail"))</f>
        <v>Pass</v>
      </c>
      <c r="R184" s="96">
        <v>102</v>
      </c>
      <c r="S184" s="77" t="s">
        <v>178</v>
      </c>
      <c r="T184" s="97">
        <v>9000</v>
      </c>
      <c r="U184" s="77">
        <v>8090</v>
      </c>
      <c r="V184" s="77">
        <v>12070</v>
      </c>
      <c r="W184" s="77">
        <v>6</v>
      </c>
    </row>
    <row r="185" spans="1:23">
      <c r="A185" s="107"/>
      <c r="B185" s="21" t="s">
        <v>135</v>
      </c>
      <c r="C185" s="77">
        <v>26257.11</v>
      </c>
      <c r="D185" s="77">
        <v>25957.7</v>
      </c>
      <c r="E185" s="77">
        <v>26012.03</v>
      </c>
      <c r="F185" s="77">
        <v>25830.92</v>
      </c>
      <c r="G185" s="77">
        <v>26066.12</v>
      </c>
      <c r="H185" s="77">
        <v>26358.22</v>
      </c>
      <c r="I185" s="77">
        <v>25988.73</v>
      </c>
      <c r="J185" s="77">
        <v>25811.99</v>
      </c>
      <c r="K185" s="77">
        <v>25920.59</v>
      </c>
      <c r="L185" s="99"/>
      <c r="M185" s="99"/>
      <c r="N185" s="99"/>
      <c r="O185" s="99"/>
      <c r="P185" s="99"/>
      <c r="Q185" s="100"/>
      <c r="R185" s="101"/>
      <c r="T185" s="97">
        <v>9000</v>
      </c>
      <c r="U185" s="77">
        <v>8090</v>
      </c>
      <c r="V185" s="77">
        <v>12070</v>
      </c>
    </row>
    <row r="186" spans="1:23" ht="15.75" thickBot="1">
      <c r="A186" s="108"/>
      <c r="B186" s="22" t="s">
        <v>136</v>
      </c>
      <c r="C186" s="23">
        <f t="shared" ref="C186:K186" si="58">IF(((C184="")*AND(C185="")),"",(C184-C185)*3)</f>
        <v>8742.0600000000013</v>
      </c>
      <c r="D186" s="23">
        <f t="shared" si="58"/>
        <v>9195.7199999999939</v>
      </c>
      <c r="E186" s="23">
        <f t="shared" si="58"/>
        <v>9193.8000000000065</v>
      </c>
      <c r="F186" s="23">
        <f t="shared" si="58"/>
        <v>9556.5300000000061</v>
      </c>
      <c r="G186" s="23">
        <f t="shared" si="58"/>
        <v>9541.7400000000052</v>
      </c>
      <c r="H186" s="23">
        <f t="shared" si="58"/>
        <v>8432.8799999999974</v>
      </c>
      <c r="I186" s="23">
        <f t="shared" si="58"/>
        <v>9014.1299999999974</v>
      </c>
      <c r="J186" s="23">
        <f t="shared" si="58"/>
        <v>9613.679999999993</v>
      </c>
      <c r="K186" s="23">
        <f t="shared" si="58"/>
        <v>9993.8100000000013</v>
      </c>
      <c r="L186" s="103"/>
      <c r="M186" s="103"/>
      <c r="N186" s="103"/>
      <c r="O186" s="103"/>
      <c r="P186" s="103"/>
      <c r="Q186" s="104"/>
      <c r="R186" s="105"/>
      <c r="T186" s="97">
        <v>9000</v>
      </c>
      <c r="U186" s="77">
        <v>8090</v>
      </c>
      <c r="V186" s="77">
        <v>12070</v>
      </c>
    </row>
    <row r="187" spans="1:23">
      <c r="A187" s="106">
        <v>42971</v>
      </c>
      <c r="B187" s="20" t="s">
        <v>133</v>
      </c>
      <c r="C187" s="77">
        <v>29264.91</v>
      </c>
      <c r="D187" s="77">
        <v>29046.01</v>
      </c>
      <c r="E187" s="77">
        <v>29033.96</v>
      </c>
      <c r="F187" s="77">
        <v>29026.86</v>
      </c>
      <c r="G187" s="77">
        <v>29261.58</v>
      </c>
      <c r="H187" s="77">
        <v>29209.57</v>
      </c>
      <c r="I187" s="77">
        <v>29037.96</v>
      </c>
      <c r="J187" s="77">
        <v>29019.14</v>
      </c>
      <c r="K187" s="77">
        <v>29232.27</v>
      </c>
      <c r="L187" s="94">
        <f>IF((K188=""),"",MAX(C189:K189))</f>
        <v>13421.430000000004</v>
      </c>
      <c r="M187" s="94">
        <f>IF(K188="","",MIN(C189:K189))</f>
        <v>11245.23</v>
      </c>
      <c r="N187" s="94">
        <f>IF((K189=""),"",AVERAGE(C189:K189))</f>
        <v>12418.89</v>
      </c>
      <c r="O187" s="94">
        <f>IF((K188=""),"",STDEV(C189:K189))</f>
        <v>617.60819430685592</v>
      </c>
      <c r="P187" s="94">
        <f>IF((K188=""),"",O187/N187*100)</f>
        <v>4.9731352343635864</v>
      </c>
      <c r="Q187" s="95" t="str">
        <f>IF(K188="","",IF(P187&lt;15,IF(N187&gt;9000,IF(N187&lt;15600,"Pass","Fail"),"Fail"),"Fail"))</f>
        <v>Pass</v>
      </c>
      <c r="R187" s="96">
        <v>1159</v>
      </c>
      <c r="S187" s="77" t="s">
        <v>179</v>
      </c>
      <c r="T187" s="97">
        <v>9000</v>
      </c>
      <c r="U187" s="77">
        <v>8090</v>
      </c>
      <c r="V187" s="77">
        <v>12070</v>
      </c>
      <c r="W187" s="77">
        <v>6</v>
      </c>
    </row>
    <row r="188" spans="1:23">
      <c r="A188" s="107"/>
      <c r="B188" s="21" t="s">
        <v>135</v>
      </c>
      <c r="C188" s="77">
        <v>25262.78</v>
      </c>
      <c r="D188" s="77">
        <v>24944.02</v>
      </c>
      <c r="E188" s="77">
        <v>24936.06</v>
      </c>
      <c r="F188" s="77">
        <v>24765.13</v>
      </c>
      <c r="G188" s="77">
        <v>25002.16</v>
      </c>
      <c r="H188" s="77">
        <v>25461.16</v>
      </c>
      <c r="I188" s="77">
        <v>24988.37</v>
      </c>
      <c r="J188" s="77">
        <v>24757.45</v>
      </c>
      <c r="K188" s="77">
        <v>24758.46</v>
      </c>
      <c r="L188" s="99"/>
      <c r="M188" s="99"/>
      <c r="N188" s="99"/>
      <c r="O188" s="99"/>
      <c r="P188" s="99"/>
      <c r="Q188" s="100"/>
      <c r="R188" s="101"/>
      <c r="T188" s="97">
        <v>9000</v>
      </c>
      <c r="U188" s="77">
        <v>8090</v>
      </c>
      <c r="V188" s="77">
        <v>12070</v>
      </c>
    </row>
    <row r="189" spans="1:23" ht="15.75" thickBot="1">
      <c r="A189" s="108"/>
      <c r="B189" s="22" t="s">
        <v>136</v>
      </c>
      <c r="C189" s="23">
        <f t="shared" ref="C189:K189" si="59">IF(((C187="")*AND(C188="")),"",(C187-C188)*3)</f>
        <v>12006.390000000003</v>
      </c>
      <c r="D189" s="23">
        <f t="shared" si="59"/>
        <v>12305.969999999994</v>
      </c>
      <c r="E189" s="23">
        <f t="shared" si="59"/>
        <v>12293.699999999993</v>
      </c>
      <c r="F189" s="23">
        <f t="shared" si="59"/>
        <v>12785.189999999999</v>
      </c>
      <c r="G189" s="23">
        <f t="shared" si="59"/>
        <v>12778.260000000006</v>
      </c>
      <c r="H189" s="23">
        <f t="shared" si="59"/>
        <v>11245.23</v>
      </c>
      <c r="I189" s="23">
        <f t="shared" si="59"/>
        <v>12148.77</v>
      </c>
      <c r="J189" s="23">
        <f t="shared" si="59"/>
        <v>12785.069999999996</v>
      </c>
      <c r="K189" s="23">
        <f t="shared" si="59"/>
        <v>13421.430000000004</v>
      </c>
      <c r="L189" s="103"/>
      <c r="M189" s="103"/>
      <c r="N189" s="103"/>
      <c r="O189" s="103"/>
      <c r="P189" s="103"/>
      <c r="Q189" s="104"/>
      <c r="R189" s="105"/>
      <c r="T189" s="97">
        <v>9000</v>
      </c>
      <c r="U189" s="77">
        <v>8090</v>
      </c>
      <c r="V189" s="77">
        <v>12070</v>
      </c>
    </row>
    <row r="190" spans="1:23">
      <c r="A190" s="106">
        <v>42975</v>
      </c>
      <c r="B190" s="20" t="s">
        <v>133</v>
      </c>
      <c r="C190" s="77">
        <v>29199.8</v>
      </c>
      <c r="D190" s="77">
        <v>28985.13</v>
      </c>
      <c r="E190" s="77">
        <v>28985.32</v>
      </c>
      <c r="F190" s="77">
        <v>28996.639999999999</v>
      </c>
      <c r="G190" s="77">
        <v>29244.93</v>
      </c>
      <c r="H190" s="77">
        <v>29162.51</v>
      </c>
      <c r="I190" s="77">
        <v>28982.16</v>
      </c>
      <c r="J190" s="77">
        <v>28982.73</v>
      </c>
      <c r="K190" s="77">
        <v>29208.14</v>
      </c>
      <c r="L190" s="94">
        <f>IF((K191=""),"",MAX(C192:K192))</f>
        <v>10502.46</v>
      </c>
      <c r="M190" s="94">
        <f>IF(K191="","",MIN(C192:K192))</f>
        <v>9110.2199999999939</v>
      </c>
      <c r="N190" s="94">
        <f>IF((K192=""),"",AVERAGE(C192:K192))</f>
        <v>9826.1299999999974</v>
      </c>
      <c r="O190" s="94">
        <f>IF((K191=""),"",STDEV(C192:K192))</f>
        <v>429.49709757464575</v>
      </c>
      <c r="P190" s="94">
        <f>IF((K191=""),"",O190/N190*100)</f>
        <v>4.3709690139927506</v>
      </c>
      <c r="Q190" s="95" t="str">
        <f>IF(K191="","",IF(P190&lt;15,IF(N190&gt;9000,IF(N190&lt;15600,"Pass","Fail"),"Fail"),"Fail"))</f>
        <v>Pass</v>
      </c>
      <c r="R190" s="96">
        <v>1428</v>
      </c>
      <c r="T190" s="97">
        <v>9000</v>
      </c>
      <c r="U190" s="77">
        <v>8090</v>
      </c>
      <c r="V190" s="77">
        <v>12070</v>
      </c>
      <c r="W190" s="77">
        <v>6</v>
      </c>
    </row>
    <row r="191" spans="1:23">
      <c r="A191" s="107"/>
      <c r="B191" s="21" t="s">
        <v>135</v>
      </c>
      <c r="C191" s="77">
        <v>26064.87</v>
      </c>
      <c r="D191" s="77">
        <v>25739.71</v>
      </c>
      <c r="E191" s="77">
        <v>25751.14</v>
      </c>
      <c r="F191" s="77">
        <v>25633.79</v>
      </c>
      <c r="G191" s="77">
        <v>25856.89</v>
      </c>
      <c r="H191" s="77">
        <v>26125.77</v>
      </c>
      <c r="I191" s="77">
        <v>25775.79</v>
      </c>
      <c r="J191" s="77">
        <v>25613.69</v>
      </c>
      <c r="K191" s="77">
        <v>25707.32</v>
      </c>
      <c r="L191" s="99"/>
      <c r="M191" s="99"/>
      <c r="N191" s="99"/>
      <c r="O191" s="99"/>
      <c r="P191" s="99"/>
      <c r="Q191" s="100"/>
      <c r="R191" s="101"/>
      <c r="T191" s="97">
        <v>9000</v>
      </c>
      <c r="U191" s="77">
        <v>8090</v>
      </c>
      <c r="V191" s="77">
        <v>12070</v>
      </c>
    </row>
    <row r="192" spans="1:23" ht="15.75" thickBot="1">
      <c r="A192" s="108"/>
      <c r="B192" s="22" t="s">
        <v>136</v>
      </c>
      <c r="C192" s="23">
        <f t="shared" ref="C192:K192" si="60">IF(((C190="")*AND(C191="")),"",(C190-C191)*3)</f>
        <v>9404.7900000000009</v>
      </c>
      <c r="D192" s="23">
        <f t="shared" si="60"/>
        <v>9736.2600000000057</v>
      </c>
      <c r="E192" s="23">
        <f t="shared" si="60"/>
        <v>9702.5400000000009</v>
      </c>
      <c r="F192" s="23">
        <f t="shared" si="60"/>
        <v>10088.549999999996</v>
      </c>
      <c r="G192" s="23">
        <f t="shared" si="60"/>
        <v>10164.120000000003</v>
      </c>
      <c r="H192" s="23">
        <f t="shared" si="60"/>
        <v>9110.2199999999939</v>
      </c>
      <c r="I192" s="23">
        <f t="shared" si="60"/>
        <v>9619.1099999999969</v>
      </c>
      <c r="J192" s="23">
        <f t="shared" si="60"/>
        <v>10107.120000000003</v>
      </c>
      <c r="K192" s="23">
        <f t="shared" si="60"/>
        <v>10502.46</v>
      </c>
      <c r="L192" s="103"/>
      <c r="M192" s="103"/>
      <c r="N192" s="103"/>
      <c r="O192" s="103"/>
      <c r="P192" s="103"/>
      <c r="Q192" s="104"/>
      <c r="R192" s="105"/>
      <c r="T192" s="97">
        <v>9000</v>
      </c>
      <c r="U192" s="77">
        <v>8090</v>
      </c>
      <c r="V192" s="77">
        <v>12070</v>
      </c>
    </row>
    <row r="193" spans="1:23">
      <c r="A193" s="106">
        <v>42982</v>
      </c>
      <c r="B193" s="20" t="s">
        <v>133</v>
      </c>
      <c r="C193" s="77">
        <v>29221</v>
      </c>
      <c r="D193" s="77">
        <v>28981</v>
      </c>
      <c r="E193" s="77">
        <v>29026</v>
      </c>
      <c r="F193" s="77">
        <v>28970</v>
      </c>
      <c r="G193" s="77">
        <v>29161</v>
      </c>
      <c r="H193" s="77">
        <v>29171</v>
      </c>
      <c r="I193" s="77">
        <v>28999</v>
      </c>
      <c r="J193" s="77">
        <v>28958</v>
      </c>
      <c r="K193" s="77">
        <v>29113</v>
      </c>
      <c r="L193" s="94">
        <f>IF((K194=""),"",MAX(C195:K195))</f>
        <v>10647</v>
      </c>
      <c r="M193" s="94">
        <f>IF(K194="","",MIN(C195:K195))</f>
        <v>9438</v>
      </c>
      <c r="N193" s="94">
        <f>IF((K195=""),"",AVERAGE(C195:K195))</f>
        <v>10075.333333333334</v>
      </c>
      <c r="O193" s="94">
        <f>IF((K194=""),"",STDEV(C195:K195))</f>
        <v>379.32242222151854</v>
      </c>
      <c r="P193" s="94">
        <f>IF((K194=""),"",O193/N193*100)</f>
        <v>3.7648622598575909</v>
      </c>
      <c r="Q193" s="95" t="str">
        <f>IF(K194="","",IF(P193&lt;15,IF(N193&gt;9000,IF(N193&lt;15600,"Pass","Fail"),"Fail"),"Fail"))</f>
        <v>Pass</v>
      </c>
      <c r="R193" s="96">
        <v>1335</v>
      </c>
      <c r="S193" s="77" t="s">
        <v>180</v>
      </c>
      <c r="T193" s="97">
        <v>9000</v>
      </c>
      <c r="U193" s="77">
        <v>8090</v>
      </c>
      <c r="V193" s="77">
        <v>12070</v>
      </c>
      <c r="W193" s="77">
        <v>6</v>
      </c>
    </row>
    <row r="194" spans="1:23">
      <c r="A194" s="107"/>
      <c r="B194" s="21" t="s">
        <v>135</v>
      </c>
      <c r="C194" s="77">
        <v>25705</v>
      </c>
      <c r="D194" s="77">
        <v>25580</v>
      </c>
      <c r="E194" s="77">
        <v>25727</v>
      </c>
      <c r="F194" s="77">
        <v>25631</v>
      </c>
      <c r="G194" s="77">
        <v>25893</v>
      </c>
      <c r="H194" s="77">
        <v>26025</v>
      </c>
      <c r="I194" s="77">
        <v>25707</v>
      </c>
      <c r="J194" s="77">
        <v>25542</v>
      </c>
      <c r="K194" s="77">
        <v>25564</v>
      </c>
      <c r="L194" s="99"/>
      <c r="M194" s="99"/>
      <c r="N194" s="99"/>
      <c r="O194" s="99"/>
      <c r="P194" s="99"/>
      <c r="Q194" s="100"/>
      <c r="R194" s="101"/>
      <c r="T194" s="97">
        <v>9000</v>
      </c>
      <c r="U194" s="77">
        <v>8090</v>
      </c>
      <c r="V194" s="77">
        <v>12070</v>
      </c>
    </row>
    <row r="195" spans="1:23" ht="15.75" thickBot="1">
      <c r="A195" s="108"/>
      <c r="B195" s="22" t="s">
        <v>136</v>
      </c>
      <c r="C195" s="23">
        <f t="shared" ref="C195:K195" si="61">IF(((C193="")*AND(C194="")),"",(C193-C194)*3)</f>
        <v>10548</v>
      </c>
      <c r="D195" s="23">
        <f t="shared" si="61"/>
        <v>10203</v>
      </c>
      <c r="E195" s="23">
        <f t="shared" si="61"/>
        <v>9897</v>
      </c>
      <c r="F195" s="23">
        <f t="shared" si="61"/>
        <v>10017</v>
      </c>
      <c r="G195" s="23">
        <f t="shared" si="61"/>
        <v>9804</v>
      </c>
      <c r="H195" s="23">
        <f t="shared" si="61"/>
        <v>9438</v>
      </c>
      <c r="I195" s="23">
        <f t="shared" si="61"/>
        <v>9876</v>
      </c>
      <c r="J195" s="23">
        <f t="shared" si="61"/>
        <v>10248</v>
      </c>
      <c r="K195" s="23">
        <f t="shared" si="61"/>
        <v>10647</v>
      </c>
      <c r="L195" s="103"/>
      <c r="M195" s="103"/>
      <c r="N195" s="103"/>
      <c r="O195" s="103"/>
      <c r="P195" s="103"/>
      <c r="Q195" s="104"/>
      <c r="R195" s="105"/>
      <c r="T195" s="97">
        <v>9000</v>
      </c>
      <c r="U195" s="77">
        <v>8090</v>
      </c>
      <c r="V195" s="77">
        <v>12070</v>
      </c>
    </row>
    <row r="196" spans="1:23">
      <c r="A196" s="106">
        <v>42989</v>
      </c>
      <c r="B196" s="20" t="s">
        <v>133</v>
      </c>
      <c r="C196" s="77">
        <v>29064.23</v>
      </c>
      <c r="D196" s="77">
        <v>28911.51</v>
      </c>
      <c r="E196" s="77">
        <v>28952.720000000001</v>
      </c>
      <c r="F196" s="77">
        <v>28911.52</v>
      </c>
      <c r="G196" s="77">
        <v>29154.75</v>
      </c>
      <c r="H196" s="77">
        <v>29027.93</v>
      </c>
      <c r="I196" s="77">
        <v>28886.05</v>
      </c>
      <c r="J196" s="77">
        <v>28910.12</v>
      </c>
      <c r="K196" s="77">
        <v>29173.84</v>
      </c>
      <c r="L196" s="94">
        <f>IF((K197=""),"",MAX(C198:K198))</f>
        <v>10453.379999999997</v>
      </c>
      <c r="M196" s="94">
        <f>IF(K197="","",MIN(C198:K198))</f>
        <v>8881.7999999999956</v>
      </c>
      <c r="N196" s="94">
        <f>IF((K198=""),"",AVERAGE(C198:K198))</f>
        <v>9676.1399999999976</v>
      </c>
      <c r="O196" s="94">
        <f>IF((K197=""),"",STDEV(C198:K198))</f>
        <v>471.89891242724968</v>
      </c>
      <c r="P196" s="94">
        <f>IF((K197=""),"",O196/N196*100)</f>
        <v>4.8769334923559375</v>
      </c>
      <c r="Q196" s="95" t="str">
        <f>IF(K197="","",IF(P196&lt;15,IF(N196&gt;9000,IF(N196&lt;15600,"Pass","Fail"),"Fail"),"Fail"))</f>
        <v>Pass</v>
      </c>
      <c r="R196" s="96">
        <v>102</v>
      </c>
      <c r="S196" s="92" t="s">
        <v>181</v>
      </c>
      <c r="T196" s="97">
        <v>9000</v>
      </c>
      <c r="U196" s="77">
        <v>8090</v>
      </c>
      <c r="V196" s="77">
        <v>12070</v>
      </c>
      <c r="W196" s="77">
        <v>6</v>
      </c>
    </row>
    <row r="197" spans="1:23">
      <c r="A197" s="107"/>
      <c r="B197" s="21" t="s">
        <v>135</v>
      </c>
      <c r="C197" s="77">
        <v>25967.27</v>
      </c>
      <c r="D197" s="77">
        <v>25715.55</v>
      </c>
      <c r="E197" s="77">
        <v>25776.240000000002</v>
      </c>
      <c r="F197" s="77">
        <v>25595.19</v>
      </c>
      <c r="G197" s="77">
        <v>25798.06</v>
      </c>
      <c r="H197" s="77">
        <v>26067.33</v>
      </c>
      <c r="I197" s="77">
        <v>25753.34</v>
      </c>
      <c r="J197" s="77">
        <v>25601.89</v>
      </c>
      <c r="K197" s="77">
        <v>25689.38</v>
      </c>
      <c r="L197" s="99"/>
      <c r="M197" s="99"/>
      <c r="N197" s="99"/>
      <c r="O197" s="99"/>
      <c r="P197" s="99"/>
      <c r="Q197" s="100"/>
      <c r="R197" s="101"/>
      <c r="T197" s="97">
        <v>9000</v>
      </c>
      <c r="U197" s="77">
        <v>8090</v>
      </c>
      <c r="V197" s="77">
        <v>12070</v>
      </c>
    </row>
    <row r="198" spans="1:23" ht="15.75" thickBot="1">
      <c r="A198" s="108"/>
      <c r="B198" s="22" t="s">
        <v>136</v>
      </c>
      <c r="C198" s="23">
        <f t="shared" ref="C198:K198" si="62">IF(((C196="")*AND(C197="")),"",(C196-C197)*3)</f>
        <v>9290.8799999999974</v>
      </c>
      <c r="D198" s="23">
        <f t="shared" si="62"/>
        <v>9587.8799999999974</v>
      </c>
      <c r="E198" s="23">
        <f t="shared" si="62"/>
        <v>9529.4399999999987</v>
      </c>
      <c r="F198" s="23">
        <f t="shared" si="62"/>
        <v>9948.9900000000052</v>
      </c>
      <c r="G198" s="23">
        <f t="shared" si="62"/>
        <v>10070.069999999996</v>
      </c>
      <c r="H198" s="23">
        <f t="shared" si="62"/>
        <v>8881.7999999999956</v>
      </c>
      <c r="I198" s="23">
        <f t="shared" si="62"/>
        <v>9398.1299999999974</v>
      </c>
      <c r="J198" s="23">
        <f t="shared" si="62"/>
        <v>9924.6899999999987</v>
      </c>
      <c r="K198" s="23">
        <f t="shared" si="62"/>
        <v>10453.379999999997</v>
      </c>
      <c r="L198" s="103"/>
      <c r="M198" s="103"/>
      <c r="N198" s="103"/>
      <c r="O198" s="103"/>
      <c r="P198" s="103"/>
      <c r="Q198" s="104"/>
      <c r="R198" s="105"/>
      <c r="T198" s="97">
        <v>9000</v>
      </c>
      <c r="U198" s="77">
        <v>8090</v>
      </c>
      <c r="V198" s="77">
        <v>12070</v>
      </c>
    </row>
    <row r="199" spans="1:23">
      <c r="A199" s="106">
        <v>42989</v>
      </c>
      <c r="B199" s="20" t="s">
        <v>133</v>
      </c>
      <c r="C199" s="77">
        <v>29345.26</v>
      </c>
      <c r="D199" s="77">
        <v>29139.24</v>
      </c>
      <c r="E199" s="77">
        <v>29138.15</v>
      </c>
      <c r="F199" s="77">
        <v>29129.9</v>
      </c>
      <c r="G199" s="77">
        <v>29378.28</v>
      </c>
      <c r="H199" s="77">
        <v>29293</v>
      </c>
      <c r="I199" s="77">
        <v>29120.9</v>
      </c>
      <c r="J199" s="77">
        <v>29136.880000000001</v>
      </c>
      <c r="K199" s="77">
        <v>29382.44</v>
      </c>
      <c r="L199" s="94">
        <f>IF((K200=""),"",MAX(C201:K201))</f>
        <v>11689.740000000005</v>
      </c>
      <c r="M199" s="94">
        <f>IF(K200="","",MIN(C201:K201))</f>
        <v>10261.529999999995</v>
      </c>
      <c r="N199" s="94">
        <f>IF((K201=""),"",AVERAGE(C201:K201))</f>
        <v>11009.626666666671</v>
      </c>
      <c r="O199" s="94">
        <f>IF((K200=""),"",STDEV(C201:K201))</f>
        <v>438.88931637137387</v>
      </c>
      <c r="P199" s="94">
        <f>IF((K200=""),"",O199/N199*100)</f>
        <v>3.9864141597115044</v>
      </c>
      <c r="Q199" s="95" t="str">
        <f>IF(K200="","",IF(P199&lt;15,IF(N199&gt;9000,IF(N199&lt;15600,"Pass","Fail"),"Fail"),"Fail"))</f>
        <v>Pass</v>
      </c>
      <c r="R199" s="96">
        <v>121</v>
      </c>
      <c r="S199" s="92" t="s">
        <v>182</v>
      </c>
      <c r="T199" s="97">
        <v>9000</v>
      </c>
      <c r="U199" s="77">
        <v>8090</v>
      </c>
      <c r="V199" s="77">
        <v>12070</v>
      </c>
      <c r="W199" s="77">
        <v>6</v>
      </c>
    </row>
    <row r="200" spans="1:23">
      <c r="A200" s="107"/>
      <c r="B200" s="21" t="s">
        <v>135</v>
      </c>
      <c r="C200" s="77">
        <v>25537.24</v>
      </c>
      <c r="D200" s="77">
        <v>25368.13</v>
      </c>
      <c r="E200" s="77">
        <v>25497.32</v>
      </c>
      <c r="F200" s="77">
        <v>25495.91</v>
      </c>
      <c r="G200" s="77">
        <v>25835.71</v>
      </c>
      <c r="H200" s="77">
        <v>25396.42</v>
      </c>
      <c r="I200" s="77">
        <v>25393.72</v>
      </c>
      <c r="J200" s="77">
        <v>25548.79</v>
      </c>
      <c r="K200" s="77">
        <v>25961.93</v>
      </c>
      <c r="L200" s="99"/>
      <c r="M200" s="99"/>
      <c r="N200" s="99"/>
      <c r="O200" s="99"/>
      <c r="P200" s="99"/>
      <c r="Q200" s="100"/>
      <c r="R200" s="101"/>
      <c r="T200" s="97">
        <v>9000</v>
      </c>
      <c r="U200" s="77">
        <v>8090</v>
      </c>
      <c r="V200" s="77">
        <v>12070</v>
      </c>
    </row>
    <row r="201" spans="1:23" ht="15.75" thickBot="1">
      <c r="A201" s="108"/>
      <c r="B201" s="22" t="s">
        <v>136</v>
      </c>
      <c r="C201" s="23">
        <f t="shared" ref="C201:K201" si="63">IF(((C199="")*AND(C200="")),"",(C199-C200)*3)</f>
        <v>11424.05999999999</v>
      </c>
      <c r="D201" s="23">
        <f t="shared" si="63"/>
        <v>11313.330000000002</v>
      </c>
      <c r="E201" s="23">
        <f t="shared" si="63"/>
        <v>10922.490000000005</v>
      </c>
      <c r="F201" s="23">
        <f t="shared" si="63"/>
        <v>10901.970000000005</v>
      </c>
      <c r="G201" s="23">
        <f t="shared" si="63"/>
        <v>10627.71</v>
      </c>
      <c r="H201" s="23">
        <f t="shared" si="63"/>
        <v>11689.740000000005</v>
      </c>
      <c r="I201" s="23">
        <f t="shared" si="63"/>
        <v>11181.54</v>
      </c>
      <c r="J201" s="23">
        <f t="shared" si="63"/>
        <v>10764.27</v>
      </c>
      <c r="K201" s="23">
        <f t="shared" si="63"/>
        <v>10261.529999999995</v>
      </c>
      <c r="L201" s="103"/>
      <c r="M201" s="103"/>
      <c r="N201" s="103"/>
      <c r="O201" s="103"/>
      <c r="P201" s="103"/>
      <c r="Q201" s="104"/>
      <c r="R201" s="105"/>
      <c r="T201" s="97">
        <v>9000</v>
      </c>
      <c r="U201" s="77">
        <v>8090</v>
      </c>
      <c r="V201" s="77">
        <v>12070</v>
      </c>
    </row>
    <row r="202" spans="1:23">
      <c r="A202" s="106">
        <v>42993</v>
      </c>
      <c r="B202" s="20" t="s">
        <v>133</v>
      </c>
      <c r="C202" s="77">
        <v>29284.92</v>
      </c>
      <c r="D202" s="77">
        <v>29094.02</v>
      </c>
      <c r="E202" s="77">
        <v>29079.03</v>
      </c>
      <c r="F202" s="77">
        <v>29081.34</v>
      </c>
      <c r="G202" s="77">
        <v>29340.71</v>
      </c>
      <c r="H202" s="77">
        <v>29247.29</v>
      </c>
      <c r="I202" s="77">
        <v>29075.71</v>
      </c>
      <c r="J202" s="77">
        <v>29079.18</v>
      </c>
      <c r="K202" s="77">
        <v>29299.66</v>
      </c>
      <c r="L202" s="94">
        <f>IF((K203=""),"",MAX(C204:K204))</f>
        <v>11405.009999999995</v>
      </c>
      <c r="M202" s="94">
        <f>IF(K203="","",MIN(C204:K204))</f>
        <v>9958.3799999999974</v>
      </c>
      <c r="N202" s="94">
        <f>IF((K204=""),"",AVERAGE(C204:K204))</f>
        <v>10722.686666666665</v>
      </c>
      <c r="O202" s="94">
        <f>IF((K203=""),"",STDEV(C204:K204))</f>
        <v>434.31741560753369</v>
      </c>
      <c r="P202" s="94">
        <f>IF((K203=""),"",O202/N202*100)</f>
        <v>4.0504532969119103</v>
      </c>
      <c r="Q202" s="95" t="str">
        <f>IF(K203="","",IF(P202&lt;15,IF(N202&gt;9000,IF(N202&lt;15600,"Pass","Fail"),"Fail"),"Fail"))</f>
        <v>Pass</v>
      </c>
      <c r="R202" s="96">
        <v>1159</v>
      </c>
      <c r="T202" s="97">
        <v>9000</v>
      </c>
      <c r="U202" s="77">
        <v>8090</v>
      </c>
      <c r="V202" s="77">
        <v>12070</v>
      </c>
      <c r="W202" s="77">
        <v>6</v>
      </c>
    </row>
    <row r="203" spans="1:23">
      <c r="A203" s="107"/>
      <c r="B203" s="21" t="s">
        <v>135</v>
      </c>
      <c r="C203" s="77">
        <v>25835.41</v>
      </c>
      <c r="D203" s="77">
        <v>25545.86</v>
      </c>
      <c r="E203" s="77">
        <v>25529.09</v>
      </c>
      <c r="F203" s="77">
        <v>25421.93</v>
      </c>
      <c r="G203" s="77">
        <v>25641.21</v>
      </c>
      <c r="H203" s="77">
        <v>25927.83</v>
      </c>
      <c r="I203" s="77">
        <v>25580.44</v>
      </c>
      <c r="J203" s="77">
        <v>25434.04</v>
      </c>
      <c r="K203" s="77">
        <v>25497.99</v>
      </c>
      <c r="L203" s="99"/>
      <c r="M203" s="99"/>
      <c r="N203" s="99"/>
      <c r="O203" s="99"/>
      <c r="P203" s="99"/>
      <c r="Q203" s="100"/>
      <c r="R203" s="101"/>
      <c r="T203" s="97">
        <v>9000</v>
      </c>
      <c r="U203" s="77">
        <v>8090</v>
      </c>
      <c r="V203" s="77">
        <v>12070</v>
      </c>
    </row>
    <row r="204" spans="1:23" ht="15.75" thickBot="1">
      <c r="A204" s="108"/>
      <c r="B204" s="22" t="s">
        <v>136</v>
      </c>
      <c r="C204" s="23">
        <f t="shared" ref="C204:K204" si="64">IF(((C202="")*AND(C203="")),"",(C202-C203)*3)</f>
        <v>10348.529999999995</v>
      </c>
      <c r="D204" s="23">
        <f t="shared" si="64"/>
        <v>10644.48</v>
      </c>
      <c r="E204" s="23">
        <f t="shared" si="64"/>
        <v>10649.819999999996</v>
      </c>
      <c r="F204" s="23">
        <f t="shared" si="64"/>
        <v>10978.23</v>
      </c>
      <c r="G204" s="23">
        <f t="shared" si="64"/>
        <v>11098.5</v>
      </c>
      <c r="H204" s="23">
        <f t="shared" si="64"/>
        <v>9958.3799999999974</v>
      </c>
      <c r="I204" s="23">
        <f t="shared" si="64"/>
        <v>10485.810000000001</v>
      </c>
      <c r="J204" s="23">
        <f t="shared" si="64"/>
        <v>10935.419999999998</v>
      </c>
      <c r="K204" s="23">
        <f t="shared" si="64"/>
        <v>11405.009999999995</v>
      </c>
      <c r="L204" s="103"/>
      <c r="M204" s="103"/>
      <c r="N204" s="103"/>
      <c r="O204" s="103"/>
      <c r="P204" s="103"/>
      <c r="Q204" s="104"/>
      <c r="R204" s="105"/>
      <c r="T204" s="97">
        <v>9000</v>
      </c>
      <c r="U204" s="77">
        <v>8090</v>
      </c>
      <c r="V204" s="77">
        <v>12070</v>
      </c>
    </row>
    <row r="205" spans="1:23">
      <c r="A205" s="106">
        <v>42997</v>
      </c>
      <c r="B205" s="20" t="s">
        <v>133</v>
      </c>
      <c r="C205" s="77">
        <v>29249.16</v>
      </c>
      <c r="D205" s="77">
        <v>29037.86</v>
      </c>
      <c r="E205" s="77">
        <v>29048.31</v>
      </c>
      <c r="F205" s="77">
        <v>29055.98</v>
      </c>
      <c r="G205" s="77">
        <v>29315.64</v>
      </c>
      <c r="H205" s="77">
        <v>29186.67</v>
      </c>
      <c r="I205" s="77">
        <v>29033.43</v>
      </c>
      <c r="J205" s="77">
        <v>29058.3</v>
      </c>
      <c r="K205" s="77">
        <v>29283.09</v>
      </c>
      <c r="L205" s="94">
        <f>IF((K206=""),"",MAX(C207:K207))</f>
        <v>11089.140000000003</v>
      </c>
      <c r="M205" s="94">
        <f>IF(K206="","",MIN(C207:K207))</f>
        <v>9483.2399999999943</v>
      </c>
      <c r="N205" s="94">
        <f>IF((K207=""),"",AVERAGE(C207:K207))</f>
        <v>10305.046666666663</v>
      </c>
      <c r="O205" s="94">
        <f>IF((K206=""),"",STDEV(C207:K207))</f>
        <v>497.75578306539194</v>
      </c>
      <c r="P205" s="94">
        <f>IF((K206=""),"",O205/N205*100)</f>
        <v>4.8302137696810572</v>
      </c>
      <c r="Q205" s="95" t="str">
        <f>IF(K206="","",IF(P205&lt;15,IF(N205&gt;9000,IF(N205&lt;15600,"Pass","Fail"),"Fail"),"Fail"))</f>
        <v>Pass</v>
      </c>
      <c r="R205" s="96">
        <v>1428</v>
      </c>
      <c r="S205" s="77" t="s">
        <v>183</v>
      </c>
      <c r="T205" s="97">
        <v>9000</v>
      </c>
      <c r="U205" s="77">
        <v>8090</v>
      </c>
      <c r="V205" s="77">
        <v>12070</v>
      </c>
      <c r="W205" s="77">
        <v>6</v>
      </c>
    </row>
    <row r="206" spans="1:23">
      <c r="A206" s="107"/>
      <c r="B206" s="21" t="s">
        <v>135</v>
      </c>
      <c r="C206" s="77">
        <v>25973.24</v>
      </c>
      <c r="D206" s="77">
        <v>25650.799999999999</v>
      </c>
      <c r="E206" s="77">
        <v>25651.599999999999</v>
      </c>
      <c r="F206" s="77">
        <v>25517.68</v>
      </c>
      <c r="G206" s="77">
        <v>25737.81</v>
      </c>
      <c r="H206" s="77">
        <v>26025.59</v>
      </c>
      <c r="I206" s="77">
        <v>25683.79</v>
      </c>
      <c r="J206" s="77">
        <v>25526.080000000002</v>
      </c>
      <c r="K206" s="77">
        <v>25586.71</v>
      </c>
      <c r="L206" s="99"/>
      <c r="M206" s="99"/>
      <c r="N206" s="99"/>
      <c r="O206" s="99"/>
      <c r="P206" s="99"/>
      <c r="Q206" s="100"/>
      <c r="R206" s="101"/>
      <c r="T206" s="97">
        <v>9000</v>
      </c>
      <c r="U206" s="77">
        <v>8090</v>
      </c>
      <c r="V206" s="77">
        <v>12070</v>
      </c>
    </row>
    <row r="207" spans="1:23" ht="15.75" thickBot="1">
      <c r="A207" s="108"/>
      <c r="B207" s="22" t="s">
        <v>136</v>
      </c>
      <c r="C207" s="23">
        <f t="shared" ref="C207:K207" si="65">IF(((C205="")*AND(C206="")),"",(C205-C206)*3)</f>
        <v>9827.7599999999948</v>
      </c>
      <c r="D207" s="23">
        <f t="shared" si="65"/>
        <v>10161.180000000004</v>
      </c>
      <c r="E207" s="23">
        <f t="shared" si="65"/>
        <v>10190.130000000008</v>
      </c>
      <c r="F207" s="23">
        <f t="shared" si="65"/>
        <v>10614.899999999998</v>
      </c>
      <c r="G207" s="23">
        <f t="shared" si="65"/>
        <v>10733.489999999994</v>
      </c>
      <c r="H207" s="23">
        <f t="shared" si="65"/>
        <v>9483.2399999999943</v>
      </c>
      <c r="I207" s="23">
        <f t="shared" si="65"/>
        <v>10048.919999999998</v>
      </c>
      <c r="J207" s="23">
        <f t="shared" si="65"/>
        <v>10596.659999999993</v>
      </c>
      <c r="K207" s="23">
        <f t="shared" si="65"/>
        <v>11089.140000000003</v>
      </c>
      <c r="L207" s="103"/>
      <c r="M207" s="103"/>
      <c r="N207" s="103"/>
      <c r="O207" s="103"/>
      <c r="P207" s="103"/>
      <c r="Q207" s="104"/>
      <c r="R207" s="105"/>
      <c r="T207" s="97">
        <v>9000</v>
      </c>
      <c r="U207" s="77">
        <v>8090</v>
      </c>
      <c r="V207" s="77">
        <v>12070</v>
      </c>
    </row>
    <row r="208" spans="1:23">
      <c r="A208" s="106">
        <v>42998</v>
      </c>
      <c r="B208" s="20" t="s">
        <v>133</v>
      </c>
      <c r="C208" s="77">
        <v>29363.56</v>
      </c>
      <c r="D208" s="77">
        <v>29188.97</v>
      </c>
      <c r="E208" s="77">
        <v>29237.08</v>
      </c>
      <c r="F208" s="77">
        <v>29175.03</v>
      </c>
      <c r="G208" s="77">
        <v>29354.19</v>
      </c>
      <c r="H208" s="77">
        <v>29367.85</v>
      </c>
      <c r="I208" s="77">
        <v>29186.560000000001</v>
      </c>
      <c r="J208" s="77">
        <v>29159.69</v>
      </c>
      <c r="K208" s="77">
        <v>29335.69</v>
      </c>
      <c r="L208" s="94">
        <f>IF((K209=""),"",MAX(C210:K210))</f>
        <v>11915.219999999994</v>
      </c>
      <c r="M208" s="94">
        <f>IF(K209="","",MIN(C210:K210))</f>
        <v>11371.439999999999</v>
      </c>
      <c r="N208" s="94">
        <f>IF((K210=""),"",AVERAGE(C210:K210))</f>
        <v>11662.879999999997</v>
      </c>
      <c r="O208" s="94">
        <f>IF((K209=""),"",STDEV(C210:K210))</f>
        <v>180.17704792782857</v>
      </c>
      <c r="P208" s="94">
        <f>IF((K209=""),"",O208/N208*100)</f>
        <v>1.5448761191732112</v>
      </c>
      <c r="Q208" s="95" t="str">
        <f>IF(K209="","",IF(P208&lt;15,IF(N208&gt;9000,IF(N208&lt;15600,"Pass","Fail"),"Fail"),"Fail"))</f>
        <v>Pass</v>
      </c>
      <c r="R208" s="96">
        <v>64</v>
      </c>
      <c r="T208" s="97">
        <v>9000</v>
      </c>
      <c r="U208" s="77">
        <v>8090</v>
      </c>
      <c r="V208" s="77">
        <v>12070</v>
      </c>
      <c r="W208" s="77">
        <v>6</v>
      </c>
    </row>
    <row r="209" spans="1:23">
      <c r="A209" s="107"/>
      <c r="B209" s="21" t="s">
        <v>135</v>
      </c>
      <c r="C209" s="77">
        <v>25573.08</v>
      </c>
      <c r="D209" s="77">
        <v>25285.360000000001</v>
      </c>
      <c r="E209" s="77">
        <v>25330.42</v>
      </c>
      <c r="F209" s="77">
        <v>25203.29</v>
      </c>
      <c r="G209" s="77">
        <v>25485.9</v>
      </c>
      <c r="H209" s="77">
        <v>25558.68</v>
      </c>
      <c r="I209" s="77">
        <v>25314.09</v>
      </c>
      <c r="J209" s="77">
        <v>25246.95</v>
      </c>
      <c r="K209" s="77">
        <v>25382.21</v>
      </c>
      <c r="L209" s="99"/>
      <c r="M209" s="99"/>
      <c r="N209" s="99"/>
      <c r="O209" s="99"/>
      <c r="P209" s="99"/>
      <c r="Q209" s="100"/>
      <c r="R209" s="101"/>
      <c r="T209" s="97">
        <v>9000</v>
      </c>
      <c r="U209" s="77">
        <v>8090</v>
      </c>
      <c r="V209" s="77">
        <v>12070</v>
      </c>
    </row>
    <row r="210" spans="1:23" ht="15.75" thickBot="1">
      <c r="A210" s="108"/>
      <c r="B210" s="22" t="s">
        <v>136</v>
      </c>
      <c r="C210" s="23">
        <f t="shared" ref="C210:K210" si="66">IF(((C208="")*AND(C209="")),"",(C208-C209)*3)</f>
        <v>11371.439999999999</v>
      </c>
      <c r="D210" s="23">
        <f t="shared" si="66"/>
        <v>11710.830000000002</v>
      </c>
      <c r="E210" s="23">
        <f t="shared" si="66"/>
        <v>11719.98000000001</v>
      </c>
      <c r="F210" s="23">
        <f t="shared" si="66"/>
        <v>11915.219999999994</v>
      </c>
      <c r="G210" s="23">
        <f t="shared" si="66"/>
        <v>11604.869999999992</v>
      </c>
      <c r="H210" s="23">
        <f t="shared" si="66"/>
        <v>11427.509999999995</v>
      </c>
      <c r="I210" s="23">
        <f t="shared" si="66"/>
        <v>11617.410000000003</v>
      </c>
      <c r="J210" s="23">
        <f t="shared" si="66"/>
        <v>11738.219999999994</v>
      </c>
      <c r="K210" s="23">
        <f t="shared" si="66"/>
        <v>11860.439999999999</v>
      </c>
      <c r="L210" s="103"/>
      <c r="M210" s="103"/>
      <c r="N210" s="103"/>
      <c r="O210" s="103"/>
      <c r="P210" s="103"/>
      <c r="Q210" s="104"/>
      <c r="R210" s="105"/>
      <c r="T210" s="97">
        <v>9000</v>
      </c>
      <c r="U210" s="77">
        <v>8090</v>
      </c>
      <c r="V210" s="77">
        <v>12070</v>
      </c>
    </row>
    <row r="211" spans="1:23">
      <c r="A211" s="106">
        <v>43003</v>
      </c>
      <c r="B211" s="20" t="s">
        <v>133</v>
      </c>
      <c r="C211" s="77">
        <v>29225.05</v>
      </c>
      <c r="D211" s="77">
        <v>29028.19</v>
      </c>
      <c r="E211" s="77">
        <v>29030.47</v>
      </c>
      <c r="F211" s="77">
        <v>29035.27</v>
      </c>
      <c r="G211" s="77">
        <v>29322.31</v>
      </c>
      <c r="H211" s="77">
        <v>29210.44</v>
      </c>
      <c r="I211" s="77">
        <v>29036.75</v>
      </c>
      <c r="J211" s="77">
        <v>29016.54</v>
      </c>
      <c r="K211" s="77">
        <v>29236.959999999999</v>
      </c>
      <c r="L211" s="94">
        <f>IF((K212=""),"",MAX(C213:K213))</f>
        <v>11402.969999999994</v>
      </c>
      <c r="M211" s="94">
        <f>IF(K212="","",MIN(C213:K213))</f>
        <v>10095.810000000001</v>
      </c>
      <c r="N211" s="94">
        <f>IF((K213=""),"",AVERAGE(C213:K213))</f>
        <v>10788.5</v>
      </c>
      <c r="O211" s="94">
        <f>IF((K212=""),"",STDEV(C213:K213))</f>
        <v>396.15047567179403</v>
      </c>
      <c r="P211" s="94">
        <f>IF((K212=""),"",O211/N211*100)</f>
        <v>3.6719699279028037</v>
      </c>
      <c r="Q211" s="95" t="str">
        <f>IF(K212="","",IF(P211&lt;15,IF(N211&gt;9000,IF(N211&lt;15600,"Pass","Fail"),"Fail"),"Fail"))</f>
        <v>Pass</v>
      </c>
      <c r="R211" s="96" t="s">
        <v>49</v>
      </c>
      <c r="S211" s="77" t="s">
        <v>184</v>
      </c>
      <c r="T211" s="97">
        <v>9000</v>
      </c>
      <c r="U211" s="77">
        <v>8090</v>
      </c>
      <c r="V211" s="77">
        <v>12070</v>
      </c>
      <c r="W211" s="77">
        <v>6</v>
      </c>
    </row>
    <row r="212" spans="1:23">
      <c r="A212" s="107"/>
      <c r="B212" s="21" t="s">
        <v>135</v>
      </c>
      <c r="C212" s="77">
        <v>25764.29</v>
      </c>
      <c r="D212" s="77">
        <v>25460.91</v>
      </c>
      <c r="E212" s="77">
        <v>25470.62</v>
      </c>
      <c r="F212" s="77">
        <v>25351.13</v>
      </c>
      <c r="G212" s="77">
        <v>25619.9</v>
      </c>
      <c r="H212" s="77">
        <v>25845.17</v>
      </c>
      <c r="I212" s="77">
        <v>25470.12</v>
      </c>
      <c r="J212" s="77">
        <v>25358.37</v>
      </c>
      <c r="K212" s="77">
        <v>25435.97</v>
      </c>
      <c r="L212" s="99"/>
      <c r="M212" s="99"/>
      <c r="N212" s="99"/>
      <c r="O212" s="99"/>
      <c r="P212" s="99"/>
      <c r="Q212" s="100"/>
      <c r="R212" s="101"/>
      <c r="T212" s="97">
        <v>9000</v>
      </c>
      <c r="U212" s="77">
        <v>8090</v>
      </c>
      <c r="V212" s="77">
        <v>12070</v>
      </c>
    </row>
    <row r="213" spans="1:23" ht="15.75" thickBot="1">
      <c r="A213" s="108"/>
      <c r="B213" s="22" t="s">
        <v>136</v>
      </c>
      <c r="C213" s="23">
        <f t="shared" ref="C213:K213" si="67">IF(((C211="")*AND(C212="")),"",(C211-C212)*3)</f>
        <v>10382.279999999995</v>
      </c>
      <c r="D213" s="23">
        <f t="shared" si="67"/>
        <v>10701.839999999997</v>
      </c>
      <c r="E213" s="23">
        <f t="shared" si="67"/>
        <v>10679.550000000007</v>
      </c>
      <c r="F213" s="23">
        <f t="shared" si="67"/>
        <v>11052.419999999998</v>
      </c>
      <c r="G213" s="23">
        <f t="shared" si="67"/>
        <v>11107.23</v>
      </c>
      <c r="H213" s="23">
        <f t="shared" si="67"/>
        <v>10095.810000000001</v>
      </c>
      <c r="I213" s="23">
        <f t="shared" si="67"/>
        <v>10699.890000000003</v>
      </c>
      <c r="J213" s="23">
        <f t="shared" si="67"/>
        <v>10974.510000000006</v>
      </c>
      <c r="K213" s="23">
        <f t="shared" si="67"/>
        <v>11402.969999999994</v>
      </c>
      <c r="L213" s="103"/>
      <c r="M213" s="103"/>
      <c r="N213" s="103"/>
      <c r="O213" s="103"/>
      <c r="P213" s="103"/>
      <c r="Q213" s="104"/>
      <c r="R213" s="105"/>
      <c r="T213" s="97">
        <v>9000</v>
      </c>
      <c r="U213" s="77">
        <v>8090</v>
      </c>
      <c r="V213" s="77">
        <v>12070</v>
      </c>
    </row>
    <row r="214" spans="1:23">
      <c r="A214" s="106">
        <v>43007</v>
      </c>
      <c r="B214" s="20" t="s">
        <v>133</v>
      </c>
      <c r="C214" s="77">
        <v>29232.82</v>
      </c>
      <c r="D214" s="77">
        <v>29035.57</v>
      </c>
      <c r="E214" s="77">
        <v>29104.16</v>
      </c>
      <c r="F214" s="77">
        <v>29050.080000000002</v>
      </c>
      <c r="G214" s="77">
        <v>29273.599999999999</v>
      </c>
      <c r="H214" s="77">
        <v>29204.2</v>
      </c>
      <c r="I214" s="77">
        <v>29033.5</v>
      </c>
      <c r="J214" s="77">
        <v>29034.400000000001</v>
      </c>
      <c r="K214" s="77">
        <v>29227.23</v>
      </c>
      <c r="L214" s="94">
        <f>IF((K215=""),"",MAX(C216:K216))</f>
        <v>22067.79</v>
      </c>
      <c r="M214" s="94">
        <f>IF(K215="","",MIN(C216:K216))</f>
        <v>16848.030000000006</v>
      </c>
      <c r="N214" s="94">
        <f>IF((K216=""),"",AVERAGE(C216:K216))</f>
        <v>19960.963333333333</v>
      </c>
      <c r="O214" s="94">
        <f>IF((K215=""),"",STDEV(C216:K216))</f>
        <v>1756.0129929758339</v>
      </c>
      <c r="P214" s="94">
        <f>IF((K215=""),"",O214/N214*100)</f>
        <v>8.7972357027650165</v>
      </c>
      <c r="Q214" s="95" t="str">
        <f>IF(K215="","",IF(P214&lt;15,IF(N214&gt;9000,IF(N214&lt;15600,"Pass","Fail"),"Fail"),"Fail"))</f>
        <v>Fail</v>
      </c>
      <c r="R214" s="96">
        <v>1159</v>
      </c>
      <c r="T214" s="97">
        <v>9000</v>
      </c>
      <c r="U214" s="77">
        <v>8090</v>
      </c>
      <c r="V214" s="77">
        <v>12070</v>
      </c>
      <c r="W214" s="77">
        <v>6</v>
      </c>
    </row>
    <row r="215" spans="1:23">
      <c r="A215" s="107"/>
      <c r="B215" s="21" t="s">
        <v>135</v>
      </c>
      <c r="C215" s="77">
        <v>23330.080000000002</v>
      </c>
      <c r="D215" s="77">
        <v>22481.68</v>
      </c>
      <c r="E215" s="77">
        <v>22159.47</v>
      </c>
      <c r="F215" s="77">
        <v>22001.7</v>
      </c>
      <c r="G215" s="77">
        <v>22269.61</v>
      </c>
      <c r="H215" s="77">
        <v>23588.19</v>
      </c>
      <c r="I215" s="77">
        <v>22638.6</v>
      </c>
      <c r="J215" s="77">
        <v>21972.04</v>
      </c>
      <c r="K215" s="77">
        <v>21871.3</v>
      </c>
      <c r="L215" s="99"/>
      <c r="M215" s="99"/>
      <c r="N215" s="99"/>
      <c r="O215" s="99"/>
      <c r="P215" s="99"/>
      <c r="Q215" s="100"/>
      <c r="R215" s="101"/>
      <c r="T215" s="97">
        <v>9000</v>
      </c>
      <c r="U215" s="77">
        <v>8090</v>
      </c>
      <c r="V215" s="77">
        <v>12070</v>
      </c>
    </row>
    <row r="216" spans="1:23" ht="15.75" thickBot="1">
      <c r="A216" s="108"/>
      <c r="B216" s="22" t="s">
        <v>136</v>
      </c>
      <c r="C216" s="23">
        <f t="shared" ref="C216:K216" si="68">IF(((C214="")*AND(C215="")),"",(C214-C215)*3)</f>
        <v>17708.219999999994</v>
      </c>
      <c r="D216" s="23">
        <f t="shared" si="68"/>
        <v>19661.669999999998</v>
      </c>
      <c r="E216" s="23">
        <f t="shared" si="68"/>
        <v>20834.069999999996</v>
      </c>
      <c r="F216" s="23">
        <f t="shared" si="68"/>
        <v>21145.140000000003</v>
      </c>
      <c r="G216" s="23">
        <f t="shared" si="68"/>
        <v>21011.969999999994</v>
      </c>
      <c r="H216" s="23">
        <f t="shared" si="68"/>
        <v>16848.030000000006</v>
      </c>
      <c r="I216" s="23">
        <f t="shared" si="68"/>
        <v>19184.700000000004</v>
      </c>
      <c r="J216" s="23">
        <f t="shared" si="68"/>
        <v>21187.08</v>
      </c>
      <c r="K216" s="23">
        <f t="shared" si="68"/>
        <v>22067.79</v>
      </c>
      <c r="L216" s="103"/>
      <c r="M216" s="103"/>
      <c r="N216" s="103"/>
      <c r="O216" s="103"/>
      <c r="P216" s="103"/>
      <c r="Q216" s="104"/>
      <c r="R216" s="105"/>
      <c r="T216" s="97">
        <v>9000</v>
      </c>
      <c r="U216" s="77">
        <v>8090</v>
      </c>
      <c r="V216" s="77">
        <v>12070</v>
      </c>
    </row>
    <row r="217" spans="1:23">
      <c r="A217" s="106">
        <v>43007</v>
      </c>
      <c r="B217" s="20" t="s">
        <v>133</v>
      </c>
      <c r="C217" s="77">
        <v>29227.9</v>
      </c>
      <c r="D217" s="77">
        <v>29075.22</v>
      </c>
      <c r="E217" s="77">
        <v>29022.400000000001</v>
      </c>
      <c r="F217" s="77">
        <v>29016.91</v>
      </c>
      <c r="G217" s="77">
        <v>29216.45</v>
      </c>
      <c r="H217" s="77">
        <v>29194.58</v>
      </c>
      <c r="I217" s="77">
        <v>29004.12</v>
      </c>
      <c r="J217" s="77">
        <v>29025.15</v>
      </c>
      <c r="K217" s="77">
        <v>29309.33</v>
      </c>
      <c r="L217" s="94">
        <f>IF((K218=""),"",MAX(C219:K219))</f>
        <v>13430.490000000005</v>
      </c>
      <c r="M217" s="94">
        <f>IF(K218="","",MIN(C219:K219))</f>
        <v>11253.75</v>
      </c>
      <c r="N217" s="94">
        <f>IF((K219=""),"",AVERAGE(C219:K219))</f>
        <v>12469.116666666667</v>
      </c>
      <c r="O217" s="94">
        <f>IF((K218=""),"",STDEV(C219:K219))</f>
        <v>691.00089723173664</v>
      </c>
      <c r="P217" s="94">
        <f>IF((K218=""),"",O217/N217*100)</f>
        <v>5.5416988685250619</v>
      </c>
      <c r="Q217" s="95" t="str">
        <f>IF(K218="","",IF(P217&lt;15,IF(N217&gt;9000,IF(N217&lt;15600,"Pass","Fail"),"Fail"),"Fail"))</f>
        <v>Pass</v>
      </c>
      <c r="R217" s="96">
        <v>1159</v>
      </c>
      <c r="S217" s="77" t="s">
        <v>185</v>
      </c>
      <c r="T217" s="97">
        <v>9000</v>
      </c>
      <c r="U217" s="77">
        <v>8090</v>
      </c>
      <c r="V217" s="77">
        <v>12070</v>
      </c>
      <c r="W217" s="77">
        <v>6</v>
      </c>
    </row>
    <row r="218" spans="1:23">
      <c r="A218" s="107"/>
      <c r="B218" s="21" t="s">
        <v>135</v>
      </c>
      <c r="C218" s="77">
        <v>25341.74</v>
      </c>
      <c r="D218" s="77">
        <v>24910.19</v>
      </c>
      <c r="E218" s="77">
        <v>24868.880000000001</v>
      </c>
      <c r="F218" s="77">
        <v>24685.96</v>
      </c>
      <c r="G218" s="77">
        <v>24953.32</v>
      </c>
      <c r="H218" s="77">
        <v>25443.33</v>
      </c>
      <c r="I218" s="77">
        <v>24955.91</v>
      </c>
      <c r="J218" s="77">
        <v>24692.880000000001</v>
      </c>
      <c r="K218" s="77">
        <v>24832.5</v>
      </c>
      <c r="L218" s="99"/>
      <c r="M218" s="99"/>
      <c r="N218" s="99"/>
      <c r="O218" s="99"/>
      <c r="P218" s="99"/>
      <c r="Q218" s="100"/>
      <c r="R218" s="101"/>
      <c r="T218" s="97">
        <v>9000</v>
      </c>
      <c r="U218" s="77">
        <v>8090</v>
      </c>
      <c r="V218" s="77">
        <v>12070</v>
      </c>
    </row>
    <row r="219" spans="1:23" ht="15.75" thickBot="1">
      <c r="A219" s="108"/>
      <c r="B219" s="22" t="s">
        <v>136</v>
      </c>
      <c r="C219" s="23">
        <f t="shared" ref="C219:K219" si="69">IF(((C217="")*AND(C218="")),"",(C217-C218)*3)</f>
        <v>11658.48</v>
      </c>
      <c r="D219" s="23">
        <f t="shared" si="69"/>
        <v>12495.090000000007</v>
      </c>
      <c r="E219" s="23">
        <f t="shared" si="69"/>
        <v>12460.560000000001</v>
      </c>
      <c r="F219" s="23">
        <f t="shared" si="69"/>
        <v>12992.850000000002</v>
      </c>
      <c r="G219" s="23">
        <f t="shared" si="69"/>
        <v>12789.390000000003</v>
      </c>
      <c r="H219" s="23">
        <f t="shared" si="69"/>
        <v>11253.75</v>
      </c>
      <c r="I219" s="23">
        <f t="shared" si="69"/>
        <v>12144.629999999997</v>
      </c>
      <c r="J219" s="23">
        <f t="shared" si="69"/>
        <v>12996.810000000001</v>
      </c>
      <c r="K219" s="23">
        <f t="shared" si="69"/>
        <v>13430.490000000005</v>
      </c>
      <c r="L219" s="103"/>
      <c r="M219" s="103"/>
      <c r="N219" s="103"/>
      <c r="O219" s="103"/>
      <c r="P219" s="103"/>
      <c r="Q219" s="104"/>
      <c r="R219" s="105"/>
      <c r="T219" s="97">
        <v>9000</v>
      </c>
      <c r="U219" s="77">
        <v>8090</v>
      </c>
      <c r="V219" s="77">
        <v>12070</v>
      </c>
    </row>
    <row r="220" spans="1:23">
      <c r="A220" s="106">
        <v>43007</v>
      </c>
      <c r="B220" s="20" t="s">
        <v>133</v>
      </c>
      <c r="C220" s="77">
        <v>29164.5</v>
      </c>
      <c r="D220" s="77">
        <v>28990.36</v>
      </c>
      <c r="E220" s="77">
        <v>29052.93</v>
      </c>
      <c r="F220" s="77">
        <v>28994.25</v>
      </c>
      <c r="G220" s="77">
        <v>29202.799999999999</v>
      </c>
      <c r="H220" s="77">
        <v>29184.83</v>
      </c>
      <c r="I220" s="77">
        <v>28997.84</v>
      </c>
      <c r="J220" s="77">
        <v>28981.24</v>
      </c>
      <c r="K220" s="77">
        <v>29159.73</v>
      </c>
      <c r="L220" s="94">
        <f>IF((K221=""),"",MAX(C222:K222))</f>
        <v>13019.550000000007</v>
      </c>
      <c r="M220" s="94">
        <f>IF(K221="","",MIN(C222:K222))</f>
        <v>10824.089999999997</v>
      </c>
      <c r="N220" s="94">
        <f>IF((K222=""),"",AVERAGE(C222:K222))</f>
        <v>11962.003333333334</v>
      </c>
      <c r="O220" s="94">
        <f>IF((K221=""),"",STDEV(C222:K222))</f>
        <v>674.07356442008506</v>
      </c>
      <c r="P220" s="94">
        <f>IF((K221=""),"",O220/N220*100)</f>
        <v>5.6351226933845675</v>
      </c>
      <c r="Q220" s="95" t="str">
        <f>IF(K221="","",IF(P220&lt;15,IF(N220&gt;9000,IF(N220&lt;15600,"Pass","Fail"),"Fail"),"Fail"))</f>
        <v>Pass</v>
      </c>
      <c r="R220" s="96" t="s">
        <v>186</v>
      </c>
      <c r="T220" s="97">
        <v>9000</v>
      </c>
      <c r="U220" s="77">
        <v>8090</v>
      </c>
      <c r="V220" s="77">
        <v>12070</v>
      </c>
      <c r="W220" s="77">
        <v>6</v>
      </c>
    </row>
    <row r="221" spans="1:23">
      <c r="A221" s="107"/>
      <c r="B221" s="21" t="s">
        <v>135</v>
      </c>
      <c r="C221" s="77">
        <v>25079.11</v>
      </c>
      <c r="D221" s="77">
        <v>24856.9</v>
      </c>
      <c r="E221" s="77">
        <v>25046.83</v>
      </c>
      <c r="F221" s="77">
        <v>25035.07</v>
      </c>
      <c r="G221" s="77">
        <v>25454.73</v>
      </c>
      <c r="H221" s="77">
        <v>24844.98</v>
      </c>
      <c r="I221" s="77">
        <v>24843.38</v>
      </c>
      <c r="J221" s="77">
        <v>25129.77</v>
      </c>
      <c r="K221" s="77">
        <v>25551.7</v>
      </c>
      <c r="L221" s="99"/>
      <c r="M221" s="99"/>
      <c r="N221" s="99"/>
      <c r="O221" s="99"/>
      <c r="P221" s="99"/>
      <c r="Q221" s="100"/>
      <c r="R221" s="101"/>
      <c r="T221" s="97">
        <v>9000</v>
      </c>
      <c r="U221" s="77">
        <v>8090</v>
      </c>
      <c r="V221" s="77">
        <v>12070</v>
      </c>
    </row>
    <row r="222" spans="1:23" ht="15.75" thickBot="1">
      <c r="A222" s="108"/>
      <c r="B222" s="22" t="s">
        <v>136</v>
      </c>
      <c r="C222" s="23">
        <f t="shared" ref="C222:K222" si="70">IF(((C220="")*AND(C221="")),"",(C220-C221)*3)</f>
        <v>12256.169999999998</v>
      </c>
      <c r="D222" s="23">
        <f t="shared" si="70"/>
        <v>12400.379999999997</v>
      </c>
      <c r="E222" s="23">
        <f t="shared" si="70"/>
        <v>12018.299999999996</v>
      </c>
      <c r="F222" s="23">
        <f t="shared" si="70"/>
        <v>11877.54</v>
      </c>
      <c r="G222" s="23">
        <f t="shared" si="70"/>
        <v>11244.21</v>
      </c>
      <c r="H222" s="23">
        <f t="shared" si="70"/>
        <v>13019.550000000007</v>
      </c>
      <c r="I222" s="23">
        <f t="shared" si="70"/>
        <v>12463.379999999997</v>
      </c>
      <c r="J222" s="23">
        <f t="shared" si="70"/>
        <v>11554.410000000003</v>
      </c>
      <c r="K222" s="23">
        <f t="shared" si="70"/>
        <v>10824.089999999997</v>
      </c>
      <c r="L222" s="103"/>
      <c r="M222" s="103"/>
      <c r="N222" s="103"/>
      <c r="O222" s="103"/>
      <c r="P222" s="103"/>
      <c r="Q222" s="104"/>
      <c r="R222" s="105"/>
      <c r="T222" s="97">
        <v>9000</v>
      </c>
      <c r="U222" s="77">
        <v>8090</v>
      </c>
      <c r="V222" s="77">
        <v>12070</v>
      </c>
    </row>
    <row r="223" spans="1:23">
      <c r="A223" s="106">
        <v>43010</v>
      </c>
      <c r="B223" s="20" t="s">
        <v>133</v>
      </c>
      <c r="C223" s="77">
        <v>29198.959999999999</v>
      </c>
      <c r="D223" s="77">
        <v>29022.39</v>
      </c>
      <c r="E223" s="77">
        <v>29092.57</v>
      </c>
      <c r="F223" s="77">
        <v>29024.76</v>
      </c>
      <c r="G223" s="77">
        <v>29231.13</v>
      </c>
      <c r="H223" s="77">
        <v>29205.66</v>
      </c>
      <c r="I223" s="77">
        <v>29039.78</v>
      </c>
      <c r="J223" s="77">
        <v>29025.53</v>
      </c>
      <c r="K223" s="77">
        <v>29201.25</v>
      </c>
      <c r="L223" s="94">
        <f>IF((K224=""),"",MAX(C225:K225))</f>
        <v>11368.680000000004</v>
      </c>
      <c r="M223" s="94">
        <f>IF(K224="","",MIN(C225:K225))</f>
        <v>9830.9700000000048</v>
      </c>
      <c r="N223" s="94">
        <f>IF((K225=""),"",AVERAGE(C225:K225))</f>
        <v>10645.996666666666</v>
      </c>
      <c r="O223" s="94">
        <f>IF((K224=""),"",STDEV(C225:K225))</f>
        <v>478.62101450418533</v>
      </c>
      <c r="P223" s="94">
        <f>IF((K224=""),"",O223/N223*100)</f>
        <v>4.4957839974042075</v>
      </c>
      <c r="Q223" s="95" t="str">
        <f>IF(K224="","",IF(P223&lt;15,IF(N223&gt;9000,IF(N223&lt;15600,"Pass","Fail"),"Fail"),"Fail"))</f>
        <v>Pass</v>
      </c>
      <c r="R223" s="96">
        <v>1159</v>
      </c>
      <c r="S223" s="77" t="s">
        <v>187</v>
      </c>
      <c r="T223" s="97">
        <v>9000</v>
      </c>
      <c r="U223" s="77">
        <v>8090</v>
      </c>
      <c r="V223" s="77">
        <v>12070</v>
      </c>
      <c r="W223" s="77">
        <v>6</v>
      </c>
    </row>
    <row r="224" spans="1:23">
      <c r="A224" s="107"/>
      <c r="B224" s="21" t="s">
        <v>135</v>
      </c>
      <c r="C224" s="77">
        <v>25824.240000000002</v>
      </c>
      <c r="D224" s="77">
        <v>25511.15</v>
      </c>
      <c r="E224" s="77">
        <v>25523.99</v>
      </c>
      <c r="F224" s="77">
        <v>25386.1</v>
      </c>
      <c r="G224" s="77">
        <v>25552.32</v>
      </c>
      <c r="H224" s="77">
        <v>25928.67</v>
      </c>
      <c r="I224" s="77">
        <v>25575.78</v>
      </c>
      <c r="J224" s="77">
        <v>25390.1</v>
      </c>
      <c r="K224" s="77">
        <v>25411.69</v>
      </c>
      <c r="L224" s="99"/>
      <c r="M224" s="99"/>
      <c r="N224" s="99"/>
      <c r="O224" s="99"/>
      <c r="P224" s="99"/>
      <c r="Q224" s="100"/>
      <c r="R224" s="101"/>
      <c r="T224" s="97">
        <v>9000</v>
      </c>
      <c r="U224" s="77">
        <v>8090</v>
      </c>
      <c r="V224" s="77">
        <v>12070</v>
      </c>
    </row>
    <row r="225" spans="1:23" ht="15.75" thickBot="1">
      <c r="A225" s="108"/>
      <c r="B225" s="22" t="s">
        <v>136</v>
      </c>
      <c r="C225" s="23">
        <f t="shared" ref="C225:K225" si="71">IF(((C223="")*AND(C224="")),"",(C223-C224)*3)</f>
        <v>10124.159999999993</v>
      </c>
      <c r="D225" s="23">
        <f t="shared" si="71"/>
        <v>10533.719999999994</v>
      </c>
      <c r="E225" s="23">
        <f t="shared" si="71"/>
        <v>10705.739999999994</v>
      </c>
      <c r="F225" s="23">
        <f t="shared" si="71"/>
        <v>10915.98</v>
      </c>
      <c r="G225" s="23">
        <f t="shared" si="71"/>
        <v>11036.430000000004</v>
      </c>
      <c r="H225" s="23">
        <f t="shared" si="71"/>
        <v>9830.9700000000048</v>
      </c>
      <c r="I225" s="23">
        <f t="shared" si="71"/>
        <v>10392</v>
      </c>
      <c r="J225" s="23">
        <f t="shared" si="71"/>
        <v>10906.29</v>
      </c>
      <c r="K225" s="23">
        <f t="shared" si="71"/>
        <v>11368.680000000004</v>
      </c>
      <c r="L225" s="103"/>
      <c r="M225" s="103"/>
      <c r="N225" s="103"/>
      <c r="O225" s="103"/>
      <c r="P225" s="103"/>
      <c r="Q225" s="104"/>
      <c r="R225" s="105"/>
      <c r="T225" s="97">
        <v>9000</v>
      </c>
      <c r="U225" s="77">
        <v>8090</v>
      </c>
      <c r="V225" s="77">
        <v>12070</v>
      </c>
    </row>
    <row r="226" spans="1:23">
      <c r="A226" s="106">
        <v>43011</v>
      </c>
      <c r="B226" s="20" t="s">
        <v>133</v>
      </c>
      <c r="C226" s="77">
        <v>29123.51</v>
      </c>
      <c r="D226" s="77">
        <v>28984.76</v>
      </c>
      <c r="E226" s="77">
        <v>29053.1</v>
      </c>
      <c r="F226" s="77">
        <v>29004.14</v>
      </c>
      <c r="G226" s="77">
        <v>29228.73</v>
      </c>
      <c r="H226" s="77">
        <v>29172.63</v>
      </c>
      <c r="I226" s="77">
        <v>28986.99</v>
      </c>
      <c r="J226" s="77">
        <v>28977.58</v>
      </c>
      <c r="K226" s="77">
        <v>29179.13</v>
      </c>
      <c r="L226" s="94">
        <f>IF((K227=""),"",MAX(C228:K228))</f>
        <v>11219.52</v>
      </c>
      <c r="M226" s="94">
        <f>IF(K227="","",MIN(C228:K228))</f>
        <v>9742.4700000000048</v>
      </c>
      <c r="N226" s="94">
        <f>IF((K228=""),"",AVERAGE(C228:K228))</f>
        <v>10533.986666666666</v>
      </c>
      <c r="O226" s="94">
        <f>IF((K227=""),"",STDEV(C228:K228))</f>
        <v>500.0558264333925</v>
      </c>
      <c r="P226" s="94">
        <f>IF((K227=""),"",O226/N226*100)</f>
        <v>4.7470710022421949</v>
      </c>
      <c r="Q226" s="95" t="str">
        <f>IF(K227="","",IF(P226&lt;15,IF(N226&gt;9000,IF(N226&lt;15600,"Pass","Fail"),"Fail"),"Fail"))</f>
        <v>Pass</v>
      </c>
      <c r="R226" s="96" t="s">
        <v>188</v>
      </c>
      <c r="S226" s="77" t="s">
        <v>189</v>
      </c>
      <c r="T226" s="97">
        <v>9000</v>
      </c>
      <c r="U226" s="77">
        <v>8090</v>
      </c>
      <c r="V226" s="77">
        <v>12070</v>
      </c>
      <c r="W226" s="77">
        <v>6</v>
      </c>
    </row>
    <row r="227" spans="1:23">
      <c r="A227" s="107"/>
      <c r="B227" s="21" t="s">
        <v>135</v>
      </c>
      <c r="C227" s="77">
        <v>25775.63</v>
      </c>
      <c r="D227" s="77">
        <v>25496.54</v>
      </c>
      <c r="E227" s="77">
        <v>25578.06</v>
      </c>
      <c r="F227" s="77">
        <v>25377.16</v>
      </c>
      <c r="G227" s="77">
        <v>25544.639999999999</v>
      </c>
      <c r="H227" s="77">
        <v>25925.14</v>
      </c>
      <c r="I227" s="77">
        <v>25609.52</v>
      </c>
      <c r="J227" s="77">
        <v>25362.63</v>
      </c>
      <c r="K227" s="77">
        <v>25439.29</v>
      </c>
      <c r="L227" s="99"/>
      <c r="M227" s="99"/>
      <c r="N227" s="99"/>
      <c r="O227" s="99"/>
      <c r="P227" s="99"/>
      <c r="Q227" s="100"/>
      <c r="R227" s="101"/>
      <c r="T227" s="97">
        <v>9000</v>
      </c>
      <c r="U227" s="77">
        <v>8090</v>
      </c>
      <c r="V227" s="77">
        <v>12070</v>
      </c>
    </row>
    <row r="228" spans="1:23" ht="15.75" thickBot="1">
      <c r="A228" s="108"/>
      <c r="B228" s="22" t="s">
        <v>136</v>
      </c>
      <c r="C228" s="23">
        <f t="shared" ref="C228:K228" si="72">IF(((C226="")*AND(C227="")),"",(C226-C227)*3)</f>
        <v>10043.639999999992</v>
      </c>
      <c r="D228" s="23">
        <f t="shared" si="72"/>
        <v>10464.659999999993</v>
      </c>
      <c r="E228" s="23">
        <f t="shared" si="72"/>
        <v>10425.119999999992</v>
      </c>
      <c r="F228" s="23">
        <f t="shared" si="72"/>
        <v>10880.939999999999</v>
      </c>
      <c r="G228" s="23">
        <f t="shared" si="72"/>
        <v>11052.27</v>
      </c>
      <c r="H228" s="23">
        <f t="shared" si="72"/>
        <v>9742.4700000000048</v>
      </c>
      <c r="I228" s="23">
        <f t="shared" si="72"/>
        <v>10132.410000000003</v>
      </c>
      <c r="J228" s="23">
        <f t="shared" si="72"/>
        <v>10844.850000000002</v>
      </c>
      <c r="K228" s="23">
        <f t="shared" si="72"/>
        <v>11219.52</v>
      </c>
      <c r="L228" s="103"/>
      <c r="M228" s="103"/>
      <c r="N228" s="103"/>
      <c r="O228" s="103"/>
      <c r="P228" s="103"/>
      <c r="Q228" s="104"/>
      <c r="R228" s="105"/>
      <c r="T228" s="97">
        <v>9000</v>
      </c>
      <c r="U228" s="77">
        <v>8090</v>
      </c>
      <c r="V228" s="77">
        <v>12070</v>
      </c>
    </row>
    <row r="229" spans="1:23">
      <c r="A229" s="106">
        <v>43012</v>
      </c>
      <c r="B229" s="20" t="s">
        <v>133</v>
      </c>
      <c r="C229" s="77">
        <v>29454.49</v>
      </c>
      <c r="D229" s="77">
        <v>29279.09</v>
      </c>
      <c r="E229" s="77">
        <v>29299.24</v>
      </c>
      <c r="F229" s="77">
        <v>29272.54</v>
      </c>
      <c r="G229" s="77">
        <v>29515</v>
      </c>
      <c r="H229" s="77">
        <v>29429.53</v>
      </c>
      <c r="I229" s="77">
        <v>29258.66</v>
      </c>
      <c r="J229" s="77">
        <v>29268.61</v>
      </c>
      <c r="K229" s="77">
        <v>29522.9</v>
      </c>
      <c r="L229" s="94">
        <f>IF((K230=""),"",MAX(C231:K231))</f>
        <v>11826</v>
      </c>
      <c r="M229" s="94">
        <f>IF(K230="","",MIN(C231:K231))</f>
        <v>10212.449999999993</v>
      </c>
      <c r="N229" s="94">
        <f>IF((K231=""),"",AVERAGE(C231:K231))</f>
        <v>10984.833333333334</v>
      </c>
      <c r="O229" s="94">
        <f>IF((K230=""),"",STDEV(C231:K231))</f>
        <v>506.57783084140874</v>
      </c>
      <c r="P229" s="94">
        <f>IF((K230=""),"",O229/N229*100)</f>
        <v>4.611611441606537</v>
      </c>
      <c r="Q229" s="95" t="str">
        <f>IF(K230="","",IF(P229&lt;15,IF(N229&gt;9000,IF(N229&lt;15600,"Pass","Fail"),"Fail"),"Fail"))</f>
        <v>Pass</v>
      </c>
      <c r="R229" s="96">
        <v>121</v>
      </c>
      <c r="T229" s="97">
        <v>9000</v>
      </c>
      <c r="U229" s="77">
        <v>8090</v>
      </c>
      <c r="V229" s="77">
        <v>12070</v>
      </c>
      <c r="W229" s="77">
        <v>6</v>
      </c>
    </row>
    <row r="230" spans="1:23">
      <c r="A230" s="107"/>
      <c r="B230" s="21" t="s">
        <v>135</v>
      </c>
      <c r="C230" s="77">
        <v>25933.15</v>
      </c>
      <c r="D230" s="77">
        <v>25623.09</v>
      </c>
      <c r="E230" s="77">
        <v>25683.85</v>
      </c>
      <c r="F230" s="77">
        <v>25518.31</v>
      </c>
      <c r="G230" s="77">
        <v>25732.560000000001</v>
      </c>
      <c r="H230" s="77">
        <v>26025.38</v>
      </c>
      <c r="I230" s="77">
        <v>25755.57</v>
      </c>
      <c r="J230" s="77">
        <v>25492.75</v>
      </c>
      <c r="K230" s="77">
        <v>25580.9</v>
      </c>
      <c r="L230" s="99"/>
      <c r="M230" s="99"/>
      <c r="N230" s="99"/>
      <c r="O230" s="99"/>
      <c r="P230" s="99"/>
      <c r="Q230" s="100"/>
      <c r="R230" s="101"/>
      <c r="T230" s="97">
        <v>9000</v>
      </c>
      <c r="U230" s="77">
        <v>8090</v>
      </c>
      <c r="V230" s="77">
        <v>12070</v>
      </c>
    </row>
    <row r="231" spans="1:23" ht="15.75" thickBot="1">
      <c r="A231" s="108"/>
      <c r="B231" s="22" t="s">
        <v>136</v>
      </c>
      <c r="C231" s="23">
        <f t="shared" ref="C231:K231" si="73">IF(((C229="")*AND(C230="")),"",(C229-C230)*3)</f>
        <v>10564.02</v>
      </c>
      <c r="D231" s="23">
        <f t="shared" si="73"/>
        <v>10968</v>
      </c>
      <c r="E231" s="23">
        <f t="shared" si="73"/>
        <v>10846.170000000009</v>
      </c>
      <c r="F231" s="23">
        <f t="shared" si="73"/>
        <v>11262.689999999999</v>
      </c>
      <c r="G231" s="23">
        <f t="shared" si="73"/>
        <v>11347.319999999996</v>
      </c>
      <c r="H231" s="23">
        <f t="shared" si="73"/>
        <v>10212.449999999993</v>
      </c>
      <c r="I231" s="23">
        <f t="shared" si="73"/>
        <v>10509.27</v>
      </c>
      <c r="J231" s="23">
        <f t="shared" si="73"/>
        <v>11327.580000000002</v>
      </c>
      <c r="K231" s="23">
        <f t="shared" si="73"/>
        <v>11826</v>
      </c>
      <c r="L231" s="103"/>
      <c r="M231" s="103"/>
      <c r="N231" s="103"/>
      <c r="O231" s="103"/>
      <c r="P231" s="103"/>
      <c r="Q231" s="104"/>
      <c r="R231" s="105"/>
      <c r="T231" s="97">
        <v>9000</v>
      </c>
      <c r="U231" s="77">
        <v>8090</v>
      </c>
      <c r="V231" s="77">
        <v>12070</v>
      </c>
    </row>
    <row r="232" spans="1:23">
      <c r="A232" s="106">
        <v>43017</v>
      </c>
      <c r="B232" s="20" t="s">
        <v>133</v>
      </c>
      <c r="C232" s="77">
        <v>29403.4</v>
      </c>
      <c r="D232" s="77">
        <v>29225.73</v>
      </c>
      <c r="E232" s="77">
        <v>29302.33</v>
      </c>
      <c r="F232" s="77">
        <v>29250.12</v>
      </c>
      <c r="G232" s="77">
        <v>29454.26</v>
      </c>
      <c r="H232" s="77">
        <v>29412.46</v>
      </c>
      <c r="I232" s="77">
        <v>29226.74</v>
      </c>
      <c r="J232" s="77">
        <v>29240.57</v>
      </c>
      <c r="K232" s="77">
        <v>29450.94</v>
      </c>
      <c r="L232" s="94">
        <f>IF((K233=""),"",MAX(C234:K234))</f>
        <v>11997.449999999993</v>
      </c>
      <c r="M232" s="94">
        <f>IF(K233="","",MIN(C234:K234))</f>
        <v>10375.469999999994</v>
      </c>
      <c r="N232" s="94">
        <f>IF((K234=""),"",AVERAGE(C234:K234))</f>
        <v>11170.79</v>
      </c>
      <c r="O232" s="94">
        <f>IF((K233=""),"",STDEV(C234:K234))</f>
        <v>519.74656189337691</v>
      </c>
      <c r="P232" s="94">
        <f>IF((K233=""),"",O232/N232*100)</f>
        <v>4.6527287854608028</v>
      </c>
      <c r="Q232" s="95" t="str">
        <f>IF(K233="","",IF(P232&lt;15,IF(N232&gt;9000,IF(N232&lt;15600,"Pass","Fail"),"Fail"),"Fail"))</f>
        <v>Pass</v>
      </c>
      <c r="R232" s="96">
        <v>1428</v>
      </c>
      <c r="S232" s="77" t="s">
        <v>190</v>
      </c>
      <c r="T232" s="97">
        <v>9000</v>
      </c>
      <c r="U232" s="77">
        <v>8090</v>
      </c>
      <c r="V232" s="77">
        <v>12070</v>
      </c>
      <c r="W232" s="77">
        <v>6</v>
      </c>
    </row>
    <row r="233" spans="1:23">
      <c r="A233" s="107"/>
      <c r="B233" s="21" t="s">
        <v>135</v>
      </c>
      <c r="C233" s="77">
        <v>25852.14</v>
      </c>
      <c r="D233" s="77">
        <v>25542.48</v>
      </c>
      <c r="E233" s="77">
        <v>25599.91</v>
      </c>
      <c r="F233" s="77">
        <v>25420.62</v>
      </c>
      <c r="G233" s="77">
        <v>25591.45</v>
      </c>
      <c r="H233" s="77">
        <v>25953.97</v>
      </c>
      <c r="I233" s="77">
        <v>25639.1</v>
      </c>
      <c r="J233" s="77">
        <v>25402.720000000001</v>
      </c>
      <c r="K233" s="77">
        <v>25451.79</v>
      </c>
      <c r="L233" s="99"/>
      <c r="M233" s="99"/>
      <c r="N233" s="99"/>
      <c r="O233" s="99"/>
      <c r="P233" s="99"/>
      <c r="Q233" s="100"/>
      <c r="R233" s="101"/>
      <c r="T233" s="97">
        <v>9000</v>
      </c>
      <c r="U233" s="77">
        <v>8090</v>
      </c>
      <c r="V233" s="77">
        <v>12070</v>
      </c>
    </row>
    <row r="234" spans="1:23" ht="15.75" thickBot="1">
      <c r="A234" s="108"/>
      <c r="B234" s="22" t="s">
        <v>136</v>
      </c>
      <c r="C234" s="23">
        <f t="shared" ref="C234:K234" si="74">IF(((C232="")*AND(C233="")),"",(C232-C233)*3)</f>
        <v>10653.780000000006</v>
      </c>
      <c r="D234" s="23">
        <f t="shared" si="74"/>
        <v>11049.75</v>
      </c>
      <c r="E234" s="23">
        <f t="shared" si="74"/>
        <v>11107.260000000006</v>
      </c>
      <c r="F234" s="23">
        <f t="shared" si="74"/>
        <v>11488.5</v>
      </c>
      <c r="G234" s="23">
        <f t="shared" si="74"/>
        <v>11588.429999999993</v>
      </c>
      <c r="H234" s="23">
        <f t="shared" si="74"/>
        <v>10375.469999999994</v>
      </c>
      <c r="I234" s="23">
        <f t="shared" si="74"/>
        <v>10762.920000000009</v>
      </c>
      <c r="J234" s="23">
        <f t="shared" si="74"/>
        <v>11513.549999999996</v>
      </c>
      <c r="K234" s="23">
        <f t="shared" si="74"/>
        <v>11997.449999999993</v>
      </c>
      <c r="L234" s="103"/>
      <c r="M234" s="103"/>
      <c r="N234" s="103"/>
      <c r="O234" s="103"/>
      <c r="P234" s="103"/>
      <c r="Q234" s="104"/>
      <c r="R234" s="105"/>
      <c r="T234" s="97">
        <v>9000</v>
      </c>
      <c r="U234" s="77">
        <v>8090</v>
      </c>
      <c r="V234" s="77">
        <v>12070</v>
      </c>
    </row>
    <row r="235" spans="1:23">
      <c r="A235" s="110">
        <v>43023</v>
      </c>
      <c r="B235" s="20" t="s">
        <v>133</v>
      </c>
      <c r="C235" s="77">
        <v>29295.63</v>
      </c>
      <c r="D235" s="77">
        <v>29136.46</v>
      </c>
      <c r="E235" s="77">
        <v>29151.74</v>
      </c>
      <c r="F235" s="77">
        <v>29173.31</v>
      </c>
      <c r="G235" s="77">
        <v>29429.74</v>
      </c>
      <c r="H235" s="77">
        <v>29288.37</v>
      </c>
      <c r="I235" s="77">
        <v>29140.93</v>
      </c>
      <c r="J235" s="77">
        <v>29158.46</v>
      </c>
      <c r="K235" s="77">
        <v>29382.11</v>
      </c>
      <c r="L235" s="94">
        <f>IF((K236=""),"",MAX(C237:K237))</f>
        <v>10926.870000000003</v>
      </c>
      <c r="M235" s="94">
        <f>IF(K236="","",MIN(C237:K237))</f>
        <v>9389.429999999993</v>
      </c>
      <c r="N235" s="94">
        <f>IF((K237=""),"",AVERAGE(C237:K237))</f>
        <v>10164.113333333333</v>
      </c>
      <c r="O235" s="94">
        <f>IF((K236=""),"",STDEV(C237:K237))</f>
        <v>498.99616205940896</v>
      </c>
      <c r="P235" s="94">
        <f>IF((K236=""),"",O235/N235*100)</f>
        <v>4.9093919527928227</v>
      </c>
      <c r="Q235" s="95" t="str">
        <f>IF(K236="","",IF(P235&lt;15,IF(N235&gt;9000,IF(N235&lt;15600,"Pass","Fail"),"Fail"),"Fail"))</f>
        <v>Pass</v>
      </c>
      <c r="R235" s="96">
        <v>121</v>
      </c>
      <c r="T235" s="97">
        <v>9000</v>
      </c>
      <c r="U235" s="77">
        <v>8090</v>
      </c>
      <c r="V235" s="77">
        <v>12070</v>
      </c>
      <c r="W235" s="77">
        <v>6</v>
      </c>
    </row>
    <row r="236" spans="1:23">
      <c r="A236" s="107"/>
      <c r="B236" s="21" t="s">
        <v>135</v>
      </c>
      <c r="C236" s="77">
        <v>26074.81</v>
      </c>
      <c r="D236" s="77">
        <v>25770.5</v>
      </c>
      <c r="E236" s="77">
        <v>25794.86</v>
      </c>
      <c r="F236" s="77">
        <v>25681.48</v>
      </c>
      <c r="G236" s="77">
        <v>25914.67</v>
      </c>
      <c r="H236" s="77">
        <v>26158.560000000001</v>
      </c>
      <c r="I236" s="77">
        <v>25885.81</v>
      </c>
      <c r="J236" s="77">
        <v>25643.9</v>
      </c>
      <c r="K236" s="77">
        <v>25739.82</v>
      </c>
      <c r="L236" s="99"/>
      <c r="M236" s="99"/>
      <c r="N236" s="99"/>
      <c r="O236" s="99"/>
      <c r="P236" s="99"/>
      <c r="Q236" s="100"/>
      <c r="R236" s="101"/>
      <c r="T236" s="97">
        <v>9000</v>
      </c>
      <c r="U236" s="77">
        <v>8090</v>
      </c>
      <c r="V236" s="77">
        <v>12070</v>
      </c>
    </row>
    <row r="237" spans="1:23" ht="15.75" thickBot="1">
      <c r="A237" s="108"/>
      <c r="B237" s="22" t="s">
        <v>136</v>
      </c>
      <c r="C237" s="23">
        <f t="shared" ref="C237:K237" si="75">IF(((C235="")*AND(C236="")),"",(C235-C236)*3)</f>
        <v>9662.4599999999991</v>
      </c>
      <c r="D237" s="23">
        <f t="shared" si="75"/>
        <v>10097.879999999997</v>
      </c>
      <c r="E237" s="23">
        <f t="shared" si="75"/>
        <v>10070.640000000003</v>
      </c>
      <c r="F237" s="23">
        <f t="shared" si="75"/>
        <v>10475.490000000005</v>
      </c>
      <c r="G237" s="23">
        <f t="shared" si="75"/>
        <v>10545.21000000001</v>
      </c>
      <c r="H237" s="23">
        <f t="shared" si="75"/>
        <v>9389.429999999993</v>
      </c>
      <c r="I237" s="23">
        <f t="shared" si="75"/>
        <v>9765.3599999999969</v>
      </c>
      <c r="J237" s="23">
        <f t="shared" si="75"/>
        <v>10543.679999999993</v>
      </c>
      <c r="K237" s="23">
        <f t="shared" si="75"/>
        <v>10926.870000000003</v>
      </c>
      <c r="L237" s="103"/>
      <c r="M237" s="103"/>
      <c r="N237" s="103"/>
      <c r="O237" s="103"/>
      <c r="P237" s="103"/>
      <c r="Q237" s="104"/>
      <c r="R237" s="105"/>
      <c r="T237" s="97">
        <v>9000</v>
      </c>
      <c r="U237" s="77">
        <v>8090</v>
      </c>
      <c r="V237" s="77">
        <v>12070</v>
      </c>
    </row>
    <row r="238" spans="1:23">
      <c r="A238" s="110">
        <v>43028</v>
      </c>
      <c r="B238" s="20" t="s">
        <v>133</v>
      </c>
      <c r="C238" s="77">
        <v>29278.46</v>
      </c>
      <c r="D238" s="77">
        <v>29129.17</v>
      </c>
      <c r="E238" s="77">
        <v>29176.57</v>
      </c>
      <c r="F238" s="77">
        <v>29132.22</v>
      </c>
      <c r="G238" s="77">
        <v>29383.74</v>
      </c>
      <c r="H238" s="77">
        <v>29272.78</v>
      </c>
      <c r="I238" s="77">
        <v>29100.49</v>
      </c>
      <c r="J238" s="77">
        <v>29127.38</v>
      </c>
      <c r="K238" s="77">
        <v>29378.32</v>
      </c>
      <c r="L238" s="94">
        <f>IF((K239=""),"",MAX(C240:K240))</f>
        <v>11439.509999999995</v>
      </c>
      <c r="M238" s="94">
        <f>IF(K239="","",MIN(C240:K240))</f>
        <v>9933.5099999999948</v>
      </c>
      <c r="N238" s="94">
        <f>IF((K240=""),"",AVERAGE(C240:K240))</f>
        <v>10662.306666666667</v>
      </c>
      <c r="O238" s="94">
        <f>IF((K239=""),"",STDEV(C240:K240))</f>
        <v>461.96829869589158</v>
      </c>
      <c r="P238" s="94">
        <f>IF((K239=""),"",O238/N238*100)</f>
        <v>4.3327238011276945</v>
      </c>
      <c r="Q238" s="95" t="str">
        <f>IF(K239="","",IF(P238&lt;15,IF(N238&gt;9000,IF(N238&lt;15600,"Pass","Fail"),"Fail"),"Fail"))</f>
        <v>Pass</v>
      </c>
      <c r="R238" s="96">
        <v>121</v>
      </c>
      <c r="T238" s="97">
        <v>9000</v>
      </c>
      <c r="U238" s="77">
        <v>8090</v>
      </c>
      <c r="V238" s="77">
        <v>12070</v>
      </c>
      <c r="W238" s="77">
        <v>6</v>
      </c>
    </row>
    <row r="239" spans="1:23">
      <c r="A239" s="107"/>
      <c r="B239" s="21" t="s">
        <v>135</v>
      </c>
      <c r="C239" s="77">
        <v>25838.58</v>
      </c>
      <c r="D239" s="77">
        <v>25580.47</v>
      </c>
      <c r="E239" s="77">
        <v>25656.01</v>
      </c>
      <c r="F239" s="77">
        <v>25496.32</v>
      </c>
      <c r="G239" s="77">
        <v>25726.17</v>
      </c>
      <c r="H239" s="77">
        <v>25961.61</v>
      </c>
      <c r="I239" s="77">
        <v>25694.62</v>
      </c>
      <c r="J239" s="77">
        <v>25473.279999999999</v>
      </c>
      <c r="K239" s="77">
        <v>25565.15</v>
      </c>
      <c r="L239" s="99"/>
      <c r="M239" s="99"/>
      <c r="N239" s="99"/>
      <c r="O239" s="99"/>
      <c r="P239" s="99"/>
      <c r="Q239" s="100"/>
      <c r="R239" s="101"/>
      <c r="T239" s="97">
        <v>9000</v>
      </c>
      <c r="U239" s="77">
        <v>8090</v>
      </c>
      <c r="V239" s="77">
        <v>12070</v>
      </c>
    </row>
    <row r="240" spans="1:23" ht="15.75" thickBot="1">
      <c r="A240" s="108"/>
      <c r="B240" s="22" t="s">
        <v>136</v>
      </c>
      <c r="C240" s="23">
        <f t="shared" ref="C240:K240" si="76">IF(((C238="")*AND(C239="")),"",(C238-C239)*3)</f>
        <v>10319.639999999992</v>
      </c>
      <c r="D240" s="23">
        <f t="shared" si="76"/>
        <v>10646.099999999991</v>
      </c>
      <c r="E240" s="23">
        <f t="shared" si="76"/>
        <v>10561.680000000004</v>
      </c>
      <c r="F240" s="23">
        <f t="shared" si="76"/>
        <v>10907.700000000004</v>
      </c>
      <c r="G240" s="23">
        <f t="shared" si="76"/>
        <v>10972.71000000001</v>
      </c>
      <c r="H240" s="23">
        <f t="shared" si="76"/>
        <v>9933.5099999999948</v>
      </c>
      <c r="I240" s="23">
        <f t="shared" si="76"/>
        <v>10217.610000000008</v>
      </c>
      <c r="J240" s="23">
        <f t="shared" si="76"/>
        <v>10962.300000000007</v>
      </c>
      <c r="K240" s="23">
        <f t="shared" si="76"/>
        <v>11439.509999999995</v>
      </c>
      <c r="L240" s="103"/>
      <c r="M240" s="103"/>
      <c r="N240" s="103"/>
      <c r="O240" s="103"/>
      <c r="P240" s="103"/>
      <c r="Q240" s="104"/>
      <c r="R240" s="105"/>
      <c r="T240" s="97">
        <v>9000</v>
      </c>
      <c r="U240" s="77">
        <v>8090</v>
      </c>
      <c r="V240" s="77">
        <v>12070</v>
      </c>
    </row>
    <row r="241" spans="1:23">
      <c r="A241" s="110">
        <v>43032</v>
      </c>
      <c r="B241" s="20" t="s">
        <v>133</v>
      </c>
      <c r="C241" s="77">
        <v>29238.29</v>
      </c>
      <c r="D241" s="77">
        <v>29054.84</v>
      </c>
      <c r="E241" s="77">
        <v>29072.11</v>
      </c>
      <c r="F241" s="77">
        <v>29072.74</v>
      </c>
      <c r="G241" s="77">
        <v>29308.29</v>
      </c>
      <c r="H241" s="77">
        <v>29230.19</v>
      </c>
      <c r="I241" s="77">
        <v>29057.5</v>
      </c>
      <c r="J241" s="77">
        <v>29068.97</v>
      </c>
      <c r="K241" s="77">
        <v>29287.93</v>
      </c>
      <c r="L241" s="94">
        <f>IF((K242=""),"",MAX(C243:K243))</f>
        <v>11731.589999999997</v>
      </c>
      <c r="M241" s="94">
        <f>IF(K242="","",MIN(C243:K243))</f>
        <v>10220.579999999991</v>
      </c>
      <c r="N241" s="94">
        <f>IF((K243=""),"",AVERAGE(C243:K243))</f>
        <v>10926.610000000002</v>
      </c>
      <c r="O241" s="94">
        <f>IF((K242=""),"",STDEV(C243:K243))</f>
        <v>453.63502072150192</v>
      </c>
      <c r="P241" s="94">
        <f>IF((K242=""),"",O241/N241*100)</f>
        <v>4.1516538132275409</v>
      </c>
      <c r="Q241" s="95" t="str">
        <f>IF(K242="","",IF(P241&lt;15,IF(N241&gt;9000,IF(N241&lt;15600,"Pass","Fail"),"Fail"),"Fail"))</f>
        <v>Pass</v>
      </c>
      <c r="R241" s="96">
        <v>1159</v>
      </c>
      <c r="T241" s="97">
        <v>9000</v>
      </c>
      <c r="U241" s="77">
        <v>8090</v>
      </c>
      <c r="V241" s="77">
        <v>12070</v>
      </c>
      <c r="W241" s="77">
        <v>6</v>
      </c>
    </row>
    <row r="242" spans="1:23">
      <c r="A242" s="107"/>
      <c r="B242" s="21" t="s">
        <v>135</v>
      </c>
      <c r="C242" s="77">
        <v>25704.76</v>
      </c>
      <c r="D242" s="77">
        <v>25429.55</v>
      </c>
      <c r="E242" s="77">
        <v>25470.58</v>
      </c>
      <c r="F242" s="77">
        <v>25356.39</v>
      </c>
      <c r="G242" s="77">
        <v>25584.94</v>
      </c>
      <c r="H242" s="77">
        <v>25823.33</v>
      </c>
      <c r="I242" s="77">
        <v>25547.67</v>
      </c>
      <c r="J242" s="77">
        <v>25316.41</v>
      </c>
      <c r="K242" s="77">
        <v>25377.4</v>
      </c>
      <c r="L242" s="99"/>
      <c r="M242" s="99"/>
      <c r="N242" s="99"/>
      <c r="O242" s="99"/>
      <c r="P242" s="99"/>
      <c r="Q242" s="100"/>
      <c r="R242" s="101"/>
      <c r="T242" s="97">
        <v>9000</v>
      </c>
      <c r="U242" s="77">
        <v>8090</v>
      </c>
      <c r="V242" s="77">
        <v>12070</v>
      </c>
    </row>
    <row r="243" spans="1:23" ht="15.75" thickBot="1">
      <c r="A243" s="108"/>
      <c r="B243" s="22" t="s">
        <v>136</v>
      </c>
      <c r="C243" s="23">
        <f t="shared" ref="C243:K243" si="77">IF(((C241="")*AND(C242="")),"",(C241-C242)*3)</f>
        <v>10600.590000000007</v>
      </c>
      <c r="D243" s="23">
        <f t="shared" si="77"/>
        <v>10875.870000000003</v>
      </c>
      <c r="E243" s="23">
        <f t="shared" si="77"/>
        <v>10804.589999999997</v>
      </c>
      <c r="F243" s="23">
        <f t="shared" si="77"/>
        <v>11149.050000000007</v>
      </c>
      <c r="G243" s="23">
        <f t="shared" si="77"/>
        <v>11170.050000000007</v>
      </c>
      <c r="H243" s="23">
        <f t="shared" si="77"/>
        <v>10220.579999999991</v>
      </c>
      <c r="I243" s="23">
        <f t="shared" si="77"/>
        <v>10529.490000000005</v>
      </c>
      <c r="J243" s="23">
        <f t="shared" si="77"/>
        <v>11257.680000000004</v>
      </c>
      <c r="K243" s="23">
        <f t="shared" si="77"/>
        <v>11731.589999999997</v>
      </c>
      <c r="L243" s="103"/>
      <c r="M243" s="103"/>
      <c r="N243" s="103"/>
      <c r="O243" s="103"/>
      <c r="P243" s="103"/>
      <c r="Q243" s="104"/>
      <c r="R243" s="105"/>
      <c r="T243" s="97">
        <v>9000</v>
      </c>
      <c r="U243" s="77">
        <v>8090</v>
      </c>
      <c r="V243" s="77">
        <v>12070</v>
      </c>
    </row>
    <row r="244" spans="1:23">
      <c r="A244" s="110">
        <v>43038</v>
      </c>
      <c r="B244" s="20" t="s">
        <v>133</v>
      </c>
      <c r="C244" s="77">
        <v>29278.5</v>
      </c>
      <c r="D244" s="77">
        <v>29084.75</v>
      </c>
      <c r="E244" s="77">
        <v>29081.97</v>
      </c>
      <c r="F244" s="77">
        <v>29067.79</v>
      </c>
      <c r="G244" s="77">
        <v>29226.94</v>
      </c>
      <c r="H244" s="77">
        <v>29265.84</v>
      </c>
      <c r="I244" s="77">
        <v>29063.73</v>
      </c>
      <c r="J244" s="77">
        <v>29085.57</v>
      </c>
      <c r="K244" s="77">
        <v>29287.08</v>
      </c>
      <c r="L244" s="94">
        <f>IF((K245=""),"",MAX(C246:K246))</f>
        <v>10670.73</v>
      </c>
      <c r="M244" s="94">
        <f>IF(K245="","",MIN(C246:K246))</f>
        <v>9345.7200000000048</v>
      </c>
      <c r="N244" s="94">
        <f>IF((K246=""),"",AVERAGE(C246:K246))</f>
        <v>9937.9766666666674</v>
      </c>
      <c r="O244" s="94">
        <f>IF((K245=""),"",STDEV(C246:K246))</f>
        <v>465.80093959220392</v>
      </c>
      <c r="P244" s="94">
        <f>IF((K245=""),"",O244/N244*100)</f>
        <v>4.687080229867755</v>
      </c>
      <c r="Q244" s="95" t="str">
        <f>IF(K245="","",IF(P244&lt;15,IF(N244&gt;9000,IF(N244&lt;15600,"Pass","Fail"),"Fail"),"Fail"))</f>
        <v>Pass</v>
      </c>
      <c r="R244" s="96">
        <v>64</v>
      </c>
      <c r="T244" s="97">
        <v>9000</v>
      </c>
      <c r="U244" s="77">
        <v>8090</v>
      </c>
      <c r="V244" s="77">
        <v>12070</v>
      </c>
      <c r="W244" s="77">
        <v>6</v>
      </c>
    </row>
    <row r="245" spans="1:23">
      <c r="A245" s="107"/>
      <c r="B245" s="21" t="s">
        <v>135</v>
      </c>
      <c r="C245" s="77">
        <v>25833.58</v>
      </c>
      <c r="D245" s="77">
        <v>25666.81</v>
      </c>
      <c r="E245" s="77">
        <v>25816.51</v>
      </c>
      <c r="F245" s="77">
        <v>25786.74</v>
      </c>
      <c r="G245" s="77">
        <v>26111.119999999999</v>
      </c>
      <c r="H245" s="77">
        <v>25708.93</v>
      </c>
      <c r="I245" s="77">
        <v>25646.71</v>
      </c>
      <c r="J245" s="77">
        <v>25886</v>
      </c>
      <c r="K245" s="77">
        <v>26171.84</v>
      </c>
      <c r="L245" s="99"/>
      <c r="M245" s="99"/>
      <c r="N245" s="99"/>
      <c r="O245" s="99"/>
      <c r="P245" s="99"/>
      <c r="Q245" s="100"/>
      <c r="R245" s="101"/>
      <c r="T245" s="97">
        <v>9000</v>
      </c>
      <c r="U245" s="77">
        <v>8090</v>
      </c>
      <c r="V245" s="77">
        <v>12070</v>
      </c>
    </row>
    <row r="246" spans="1:23" ht="15.75" thickBot="1">
      <c r="A246" s="108"/>
      <c r="B246" s="22" t="s">
        <v>136</v>
      </c>
      <c r="C246" s="23">
        <f t="shared" ref="C246:K246" si="78">IF(((C244="")*AND(C245="")),"",(C244-C245)*3)</f>
        <v>10334.759999999995</v>
      </c>
      <c r="D246" s="23">
        <f t="shared" si="78"/>
        <v>10253.819999999996</v>
      </c>
      <c r="E246" s="23">
        <f t="shared" si="78"/>
        <v>9796.3800000000083</v>
      </c>
      <c r="F246" s="23">
        <f t="shared" si="78"/>
        <v>9843.1499999999978</v>
      </c>
      <c r="G246" s="23">
        <f t="shared" si="78"/>
        <v>9347.4599999999991</v>
      </c>
      <c r="H246" s="23">
        <f t="shared" si="78"/>
        <v>10670.73</v>
      </c>
      <c r="I246" s="23">
        <f t="shared" si="78"/>
        <v>10251.060000000001</v>
      </c>
      <c r="J246" s="23">
        <f t="shared" si="78"/>
        <v>9598.7099999999991</v>
      </c>
      <c r="K246" s="23">
        <f t="shared" si="78"/>
        <v>9345.7200000000048</v>
      </c>
      <c r="L246" s="103"/>
      <c r="M246" s="103"/>
      <c r="N246" s="103"/>
      <c r="O246" s="103"/>
      <c r="P246" s="103"/>
      <c r="Q246" s="104"/>
      <c r="R246" s="105"/>
      <c r="T246" s="97">
        <v>9000</v>
      </c>
      <c r="U246" s="77">
        <v>8090</v>
      </c>
      <c r="V246" s="77">
        <v>12070</v>
      </c>
    </row>
    <row r="247" spans="1:23">
      <c r="A247" s="110">
        <v>43040</v>
      </c>
      <c r="B247" s="20" t="s">
        <v>133</v>
      </c>
      <c r="C247" s="77">
        <v>29233.8</v>
      </c>
      <c r="D247" s="77">
        <v>29054.15</v>
      </c>
      <c r="E247" s="77">
        <v>29047.98</v>
      </c>
      <c r="F247" s="77">
        <v>29048.7</v>
      </c>
      <c r="G247" s="77">
        <v>29264.93</v>
      </c>
      <c r="H247" s="77">
        <v>29194.31</v>
      </c>
      <c r="I247" s="77">
        <v>29039.24</v>
      </c>
      <c r="J247" s="77">
        <v>29044.78</v>
      </c>
      <c r="K247" s="77">
        <v>29287.78</v>
      </c>
      <c r="L247" s="94">
        <f>IF((K248=""),"",MAX(C249:K249))</f>
        <v>10304.370000000003</v>
      </c>
      <c r="M247" s="94">
        <f>IF(K248="","",MIN(C249:K249))</f>
        <v>9078.1199999999917</v>
      </c>
      <c r="N247" s="94">
        <f>IF((K249=""),"",AVERAGE(C249:K249))</f>
        <v>9700.4233333333341</v>
      </c>
      <c r="O247" s="94">
        <f>IF((K248=""),"",STDEV(C249:K249))</f>
        <v>414.48508947847029</v>
      </c>
      <c r="P247" s="94">
        <f>IF((K248=""),"",O247/N247*100)</f>
        <v>4.2728556809905918</v>
      </c>
      <c r="Q247" s="95" t="str">
        <f>IF(K248="","",IF(P247&lt;15,IF(N247&gt;9000,IF(N247&lt;15600,"Pass","Fail"),"Fail"),"Fail"))</f>
        <v>Pass</v>
      </c>
      <c r="R247" s="96">
        <v>1335</v>
      </c>
      <c r="T247" s="97">
        <v>9000</v>
      </c>
      <c r="U247" s="77">
        <v>8090</v>
      </c>
      <c r="V247" s="77">
        <v>12070</v>
      </c>
      <c r="W247" s="77">
        <v>6</v>
      </c>
    </row>
    <row r="248" spans="1:23">
      <c r="A248" s="107"/>
      <c r="B248" s="21" t="s">
        <v>135</v>
      </c>
      <c r="C248" s="77">
        <v>25871.439999999999</v>
      </c>
      <c r="D248" s="77">
        <v>25726.11</v>
      </c>
      <c r="E248" s="77">
        <v>25866.959999999999</v>
      </c>
      <c r="F248" s="77">
        <v>25815.83</v>
      </c>
      <c r="G248" s="77">
        <v>26151.94</v>
      </c>
      <c r="H248" s="77">
        <v>25759.52</v>
      </c>
      <c r="I248" s="77">
        <v>25715.03</v>
      </c>
      <c r="J248" s="77">
        <v>25945.83</v>
      </c>
      <c r="K248" s="77">
        <v>26261.74</v>
      </c>
      <c r="L248" s="99"/>
      <c r="M248" s="99"/>
      <c r="N248" s="99"/>
      <c r="O248" s="99"/>
      <c r="P248" s="99"/>
      <c r="Q248" s="100"/>
      <c r="R248" s="101"/>
      <c r="T248" s="97">
        <v>9000</v>
      </c>
      <c r="U248" s="77">
        <v>8090</v>
      </c>
      <c r="V248" s="77">
        <v>12070</v>
      </c>
    </row>
    <row r="249" spans="1:23" ht="15.75" thickBot="1">
      <c r="A249" s="108"/>
      <c r="B249" s="22" t="s">
        <v>136</v>
      </c>
      <c r="C249" s="23">
        <f t="shared" ref="C249:K249" si="79">IF(((C247="")*AND(C248="")),"",(C247-C248)*3)</f>
        <v>10087.080000000002</v>
      </c>
      <c r="D249" s="23">
        <f t="shared" si="79"/>
        <v>9984.1200000000026</v>
      </c>
      <c r="E249" s="23">
        <f t="shared" si="79"/>
        <v>9543.0600000000013</v>
      </c>
      <c r="F249" s="23">
        <f t="shared" si="79"/>
        <v>9698.6099999999969</v>
      </c>
      <c r="G249" s="23">
        <f t="shared" si="79"/>
        <v>9338.9700000000048</v>
      </c>
      <c r="H249" s="23">
        <f t="shared" si="79"/>
        <v>10304.370000000003</v>
      </c>
      <c r="I249" s="23">
        <f t="shared" si="79"/>
        <v>9972.6300000000083</v>
      </c>
      <c r="J249" s="23">
        <f t="shared" si="79"/>
        <v>9296.8499999999913</v>
      </c>
      <c r="K249" s="23">
        <f t="shared" si="79"/>
        <v>9078.1199999999917</v>
      </c>
      <c r="L249" s="103"/>
      <c r="M249" s="103"/>
      <c r="N249" s="103"/>
      <c r="O249" s="103"/>
      <c r="P249" s="103"/>
      <c r="Q249" s="104"/>
      <c r="R249" s="105"/>
      <c r="T249" s="97">
        <v>9000</v>
      </c>
      <c r="U249" s="77">
        <v>8090</v>
      </c>
      <c r="V249" s="77">
        <v>12070</v>
      </c>
    </row>
    <row r="250" spans="1:23">
      <c r="A250" s="110">
        <v>43042</v>
      </c>
      <c r="B250" s="20" t="s">
        <v>133</v>
      </c>
      <c r="C250" s="77">
        <v>29184.48</v>
      </c>
      <c r="D250" s="77">
        <v>29020.28</v>
      </c>
      <c r="E250" s="77">
        <v>29051.97</v>
      </c>
      <c r="F250" s="77">
        <v>29018.82</v>
      </c>
      <c r="G250" s="77">
        <v>29275.03</v>
      </c>
      <c r="H250" s="77">
        <v>29155.4</v>
      </c>
      <c r="I250" s="77">
        <v>29022.62</v>
      </c>
      <c r="J250" s="77">
        <v>29020.44</v>
      </c>
      <c r="K250" s="77">
        <v>29266.87</v>
      </c>
      <c r="L250" s="94">
        <f>IF((K251=""),"",MAX(C252:K252))</f>
        <v>10435.799999999996</v>
      </c>
      <c r="M250" s="94">
        <f>IF(K251="","",MIN(C252:K252))</f>
        <v>9071.8500000000022</v>
      </c>
      <c r="N250" s="94">
        <f>IF((K252=""),"",AVERAGE(C252:K252))</f>
        <v>9723.486666666664</v>
      </c>
      <c r="O250" s="94">
        <f>IF((K251=""),"",STDEV(C252:K252))</f>
        <v>448.39109826136917</v>
      </c>
      <c r="P250" s="94">
        <f>IF((K251=""),"",O250/N250*100)</f>
        <v>4.6114229764772574</v>
      </c>
      <c r="Q250" s="95" t="str">
        <f>IF(K251="","",IF(P250&lt;15,IF(N250&gt;9000,IF(N250&lt;15600,"Pass","Fail"),"Fail"),"Fail"))</f>
        <v>Pass</v>
      </c>
      <c r="R250" s="96">
        <v>121</v>
      </c>
      <c r="T250" s="97">
        <v>9000</v>
      </c>
      <c r="U250" s="77">
        <v>8090</v>
      </c>
      <c r="V250" s="77">
        <v>12070</v>
      </c>
      <c r="W250" s="77">
        <v>6</v>
      </c>
    </row>
    <row r="251" spans="1:23">
      <c r="A251" s="107"/>
      <c r="B251" s="21" t="s">
        <v>135</v>
      </c>
      <c r="C251" s="77">
        <v>26086.81</v>
      </c>
      <c r="D251" s="77">
        <v>25790</v>
      </c>
      <c r="E251" s="77">
        <v>25859.72</v>
      </c>
      <c r="F251" s="77">
        <v>25688.78</v>
      </c>
      <c r="G251" s="77">
        <v>25905.8</v>
      </c>
      <c r="H251" s="77">
        <v>26131.45</v>
      </c>
      <c r="I251" s="77">
        <v>25914.98</v>
      </c>
      <c r="J251" s="77">
        <v>25679.64</v>
      </c>
      <c r="K251" s="77">
        <v>25788.27</v>
      </c>
      <c r="L251" s="99"/>
      <c r="M251" s="99"/>
      <c r="N251" s="99"/>
      <c r="O251" s="99"/>
      <c r="P251" s="99"/>
      <c r="Q251" s="100"/>
      <c r="R251" s="101"/>
      <c r="T251" s="97">
        <v>9000</v>
      </c>
      <c r="U251" s="77">
        <v>8090</v>
      </c>
      <c r="V251" s="77">
        <v>12070</v>
      </c>
    </row>
    <row r="252" spans="1:23" ht="15.75" thickBot="1">
      <c r="A252" s="108"/>
      <c r="B252" s="22" t="s">
        <v>136</v>
      </c>
      <c r="C252" s="23">
        <f t="shared" ref="C252:K252" si="80">IF(((C250="")*AND(C251="")),"",(C250-C251)*3)</f>
        <v>9293.0099999999948</v>
      </c>
      <c r="D252" s="23">
        <f t="shared" si="80"/>
        <v>9690.8399999999965</v>
      </c>
      <c r="E252" s="23">
        <f t="shared" si="80"/>
        <v>9576.75</v>
      </c>
      <c r="F252" s="23">
        <f t="shared" si="80"/>
        <v>9990.1200000000026</v>
      </c>
      <c r="G252" s="23">
        <f t="shared" si="80"/>
        <v>10107.689999999999</v>
      </c>
      <c r="H252" s="23">
        <f t="shared" si="80"/>
        <v>9071.8500000000022</v>
      </c>
      <c r="I252" s="23">
        <f t="shared" si="80"/>
        <v>9322.9199999999983</v>
      </c>
      <c r="J252" s="23">
        <f t="shared" si="80"/>
        <v>10022.399999999998</v>
      </c>
      <c r="K252" s="23">
        <f t="shared" si="80"/>
        <v>10435.799999999996</v>
      </c>
      <c r="L252" s="103"/>
      <c r="M252" s="103"/>
      <c r="N252" s="103"/>
      <c r="O252" s="103"/>
      <c r="P252" s="103"/>
      <c r="Q252" s="104"/>
      <c r="R252" s="105"/>
      <c r="T252" s="97">
        <v>9000</v>
      </c>
      <c r="U252" s="77">
        <v>8090</v>
      </c>
      <c r="V252" s="77">
        <v>12070</v>
      </c>
    </row>
    <row r="253" spans="1:23">
      <c r="A253" s="110">
        <v>43046</v>
      </c>
      <c r="B253" s="20" t="s">
        <v>133</v>
      </c>
      <c r="C253" s="77">
        <v>29371.279999999999</v>
      </c>
      <c r="D253" s="77">
        <v>29181.49</v>
      </c>
      <c r="E253" s="77">
        <v>29210.04</v>
      </c>
      <c r="F253" s="77">
        <v>29161.45</v>
      </c>
      <c r="G253" s="77">
        <v>29347.57</v>
      </c>
      <c r="H253" s="77">
        <v>29335.74</v>
      </c>
      <c r="I253" s="77">
        <v>29168.07</v>
      </c>
      <c r="J253" s="77">
        <v>29179.13</v>
      </c>
      <c r="K253" s="77">
        <v>29443.89</v>
      </c>
      <c r="L253" s="94">
        <f>IF((K254=""),"",MAX(C255:K255))</f>
        <v>11503.080000000002</v>
      </c>
      <c r="M253" s="94">
        <f>IF(K254="","",MIN(C255:K255))</f>
        <v>10202.790000000001</v>
      </c>
      <c r="N253" s="94">
        <f>IF((K255=""),"",AVERAGE(C255:K255))</f>
        <v>10806.673333333334</v>
      </c>
      <c r="O253" s="94">
        <f>IF((K254=""),"",STDEV(C255:K255))</f>
        <v>393.80191175260273</v>
      </c>
      <c r="P253" s="94">
        <f>IF((K254=""),"",O253/N253*100)</f>
        <v>3.6440623270985273</v>
      </c>
      <c r="Q253" s="95" t="str">
        <f>IF(K254="","",IF(P253&lt;15,IF(N253&gt;9000,IF(N253&lt;15600,"Pass","Fail"),"Fail"),"Fail"))</f>
        <v>Pass</v>
      </c>
      <c r="R253" s="96">
        <v>1335</v>
      </c>
      <c r="T253" s="97">
        <v>9000</v>
      </c>
      <c r="U253" s="77">
        <v>8090</v>
      </c>
      <c r="V253" s="77">
        <v>12070</v>
      </c>
      <c r="W253" s="77">
        <v>6</v>
      </c>
    </row>
    <row r="254" spans="1:23">
      <c r="A254" s="107"/>
      <c r="B254" s="21" t="s">
        <v>135</v>
      </c>
      <c r="C254" s="77">
        <v>25872.93</v>
      </c>
      <c r="D254" s="77">
        <v>25587.51</v>
      </c>
      <c r="E254" s="77">
        <v>25644.86</v>
      </c>
      <c r="F254" s="77">
        <v>25489.75</v>
      </c>
      <c r="G254" s="77">
        <v>25685.31</v>
      </c>
      <c r="H254" s="77">
        <v>25934.81</v>
      </c>
      <c r="I254" s="77">
        <v>25678.02</v>
      </c>
      <c r="J254" s="77">
        <v>25475.919999999998</v>
      </c>
      <c r="K254" s="77">
        <v>25609.53</v>
      </c>
      <c r="L254" s="99"/>
      <c r="M254" s="99"/>
      <c r="N254" s="99"/>
      <c r="O254" s="99"/>
      <c r="P254" s="99"/>
      <c r="Q254" s="100"/>
      <c r="R254" s="101"/>
      <c r="T254" s="97">
        <v>9000</v>
      </c>
      <c r="U254" s="77">
        <v>8090</v>
      </c>
      <c r="V254" s="77">
        <v>12070</v>
      </c>
    </row>
    <row r="255" spans="1:23" ht="15.75" thickBot="1">
      <c r="A255" s="108"/>
      <c r="B255" s="22" t="s">
        <v>136</v>
      </c>
      <c r="C255" s="23">
        <f t="shared" ref="C255:K255" si="81">IF(((C253="")*AND(C254="")),"",(C253-C254)*3)</f>
        <v>10495.049999999996</v>
      </c>
      <c r="D255" s="23">
        <f t="shared" si="81"/>
        <v>10781.94000000001</v>
      </c>
      <c r="E255" s="23">
        <f t="shared" si="81"/>
        <v>10695.54</v>
      </c>
      <c r="F255" s="23">
        <f t="shared" si="81"/>
        <v>11015.100000000002</v>
      </c>
      <c r="G255" s="23">
        <f t="shared" si="81"/>
        <v>10986.779999999995</v>
      </c>
      <c r="H255" s="23">
        <f t="shared" si="81"/>
        <v>10202.790000000001</v>
      </c>
      <c r="I255" s="23">
        <f t="shared" si="81"/>
        <v>10470.149999999998</v>
      </c>
      <c r="J255" s="23">
        <f t="shared" si="81"/>
        <v>11109.630000000008</v>
      </c>
      <c r="K255" s="23">
        <f t="shared" si="81"/>
        <v>11503.080000000002</v>
      </c>
      <c r="L255" s="103"/>
      <c r="M255" s="103"/>
      <c r="N255" s="103"/>
      <c r="O255" s="103"/>
      <c r="P255" s="103"/>
      <c r="Q255" s="104"/>
      <c r="R255" s="105"/>
      <c r="T255" s="97">
        <v>9000</v>
      </c>
      <c r="U255" s="77">
        <v>8090</v>
      </c>
      <c r="V255" s="77">
        <v>12070</v>
      </c>
    </row>
    <row r="256" spans="1:23">
      <c r="A256" s="110">
        <v>43052</v>
      </c>
      <c r="B256" s="20" t="s">
        <v>133</v>
      </c>
      <c r="C256" s="77">
        <v>29307.21</v>
      </c>
      <c r="D256" s="77">
        <v>29128.03</v>
      </c>
      <c r="E256" s="77">
        <v>29188.15</v>
      </c>
      <c r="F256" s="77">
        <v>29146.12</v>
      </c>
      <c r="G256" s="77">
        <v>29359.07</v>
      </c>
      <c r="H256" s="77">
        <v>29299.09</v>
      </c>
      <c r="I256" s="77">
        <v>29130.99</v>
      </c>
      <c r="J256" s="77">
        <v>29128.29</v>
      </c>
      <c r="K256" s="77">
        <v>29317.71</v>
      </c>
      <c r="L256" s="94">
        <f>IF((K257=""),"",MAX(C258:K258))</f>
        <v>11264.879999999997</v>
      </c>
      <c r="M256" s="94">
        <f>IF(K257="","",MIN(C258:K258))</f>
        <v>10118.069999999996</v>
      </c>
      <c r="N256" s="94">
        <f>IF((K258=""),"",AVERAGE(C258:K258))</f>
        <v>10719.403333333332</v>
      </c>
      <c r="O256" s="94">
        <f>IF((K257=""),"",STDEV(C258:K258))</f>
        <v>348.64316141297672</v>
      </c>
      <c r="P256" s="94">
        <f>IF((K257=""),"",O256/N256*100)</f>
        <v>3.2524493255032865</v>
      </c>
      <c r="Q256" s="95" t="str">
        <f>IF(K257="","",IF(P256&lt;15,IF(N256&gt;9000,IF(N256&lt;15600,"Pass","Fail"),"Fail"),"Fail"))</f>
        <v>Pass</v>
      </c>
      <c r="R256" s="96">
        <v>102</v>
      </c>
      <c r="S256" s="92" t="s">
        <v>191</v>
      </c>
      <c r="T256" s="97">
        <v>9000</v>
      </c>
      <c r="U256" s="77">
        <v>8090</v>
      </c>
      <c r="V256" s="77">
        <v>12070</v>
      </c>
      <c r="W256" s="77">
        <v>6</v>
      </c>
    </row>
    <row r="257" spans="1:23">
      <c r="A257" s="107"/>
      <c r="B257" s="21" t="s">
        <v>135</v>
      </c>
      <c r="C257" s="77">
        <v>25662.89</v>
      </c>
      <c r="D257" s="77">
        <v>25472.6</v>
      </c>
      <c r="E257" s="77">
        <v>25640.62</v>
      </c>
      <c r="F257" s="77">
        <v>25567.89</v>
      </c>
      <c r="G257" s="77">
        <v>25860.81</v>
      </c>
      <c r="H257" s="77">
        <v>25544.13</v>
      </c>
      <c r="I257" s="77">
        <v>25488.43</v>
      </c>
      <c r="J257" s="77">
        <v>25664.06</v>
      </c>
      <c r="K257" s="77">
        <v>25945.02</v>
      </c>
      <c r="L257" s="99"/>
      <c r="M257" s="99"/>
      <c r="N257" s="99"/>
      <c r="O257" s="99"/>
      <c r="P257" s="99"/>
      <c r="Q257" s="100"/>
      <c r="R257" s="101"/>
      <c r="T257" s="97">
        <v>9000</v>
      </c>
      <c r="U257" s="77">
        <v>8090</v>
      </c>
      <c r="V257" s="77">
        <v>12070</v>
      </c>
    </row>
    <row r="258" spans="1:23" ht="15.75" thickBot="1">
      <c r="A258" s="108"/>
      <c r="B258" s="22" t="s">
        <v>136</v>
      </c>
      <c r="C258" s="23">
        <f t="shared" ref="C258:K258" si="82">IF(((C256="")*AND(C257="")),"",(C256-C257)*3)</f>
        <v>10932.96</v>
      </c>
      <c r="D258" s="23">
        <f t="shared" si="82"/>
        <v>10966.29</v>
      </c>
      <c r="E258" s="23">
        <f t="shared" si="82"/>
        <v>10642.590000000007</v>
      </c>
      <c r="F258" s="23">
        <f t="shared" si="82"/>
        <v>10734.689999999999</v>
      </c>
      <c r="G258" s="23">
        <f t="shared" si="82"/>
        <v>10494.779999999995</v>
      </c>
      <c r="H258" s="23">
        <f t="shared" si="82"/>
        <v>11264.879999999997</v>
      </c>
      <c r="I258" s="23">
        <f t="shared" si="82"/>
        <v>10927.680000000004</v>
      </c>
      <c r="J258" s="23">
        <f t="shared" si="82"/>
        <v>10392.689999999999</v>
      </c>
      <c r="K258" s="23">
        <f t="shared" si="82"/>
        <v>10118.069999999996</v>
      </c>
      <c r="L258" s="103"/>
      <c r="M258" s="103"/>
      <c r="N258" s="103"/>
      <c r="O258" s="103"/>
      <c r="P258" s="103"/>
      <c r="Q258" s="104"/>
      <c r="R258" s="105"/>
      <c r="T258" s="97">
        <v>9000</v>
      </c>
      <c r="U258" s="77">
        <v>8090</v>
      </c>
      <c r="V258" s="77">
        <v>12070</v>
      </c>
    </row>
    <row r="259" spans="1:23">
      <c r="A259" s="110">
        <v>43053</v>
      </c>
      <c r="B259" s="20" t="s">
        <v>133</v>
      </c>
      <c r="C259" s="77">
        <v>29121.599999999999</v>
      </c>
      <c r="D259" s="77">
        <v>28932.16</v>
      </c>
      <c r="E259" s="77">
        <v>28923.75</v>
      </c>
      <c r="F259" s="77">
        <v>28918.76</v>
      </c>
      <c r="G259" s="77">
        <v>29112.52</v>
      </c>
      <c r="H259" s="77">
        <v>29104.02</v>
      </c>
      <c r="I259" s="77">
        <v>28915.9</v>
      </c>
      <c r="J259" s="77">
        <v>28914.16</v>
      </c>
      <c r="K259" s="77">
        <v>29154.94</v>
      </c>
      <c r="L259" s="94">
        <f>IF((K260=""),"",MAX(C261:K261))</f>
        <v>10053.029999999995</v>
      </c>
      <c r="M259" s="94">
        <f>IF(K260="","",MIN(C261:K261))</f>
        <v>8761.9199999999983</v>
      </c>
      <c r="N259" s="94">
        <f>IF((K261=""),"",AVERAGE(C261:K261))</f>
        <v>9312.536666666665</v>
      </c>
      <c r="O259" s="94">
        <f>IF((K260=""),"",STDEV(C261:K261))</f>
        <v>427.56516515031234</v>
      </c>
      <c r="P259" s="94">
        <f>IF((K260=""),"",O259/N259*100)</f>
        <v>4.5912857093034702</v>
      </c>
      <c r="Q259" s="95" t="str">
        <f>IF(K260="","",IF(P259&lt;15,IF(N259&gt;9000,IF(N259&lt;15600,"Pass","Fail"),"Fail"),"Fail"))</f>
        <v>Pass</v>
      </c>
      <c r="R259" s="111" t="s">
        <v>49</v>
      </c>
      <c r="S259" s="92" t="s">
        <v>192</v>
      </c>
      <c r="T259" s="97">
        <v>9000</v>
      </c>
      <c r="U259" s="77">
        <v>8090</v>
      </c>
      <c r="V259" s="77">
        <v>12070</v>
      </c>
      <c r="W259" s="77">
        <v>6</v>
      </c>
    </row>
    <row r="260" spans="1:23">
      <c r="A260" s="107"/>
      <c r="B260" s="21" t="s">
        <v>135</v>
      </c>
      <c r="C260" s="77">
        <v>26153.69</v>
      </c>
      <c r="D260" s="77">
        <v>25853.919999999998</v>
      </c>
      <c r="E260" s="77">
        <v>25869.13</v>
      </c>
      <c r="F260" s="77">
        <v>25745.43</v>
      </c>
      <c r="G260" s="77">
        <v>25894.18</v>
      </c>
      <c r="H260" s="77">
        <v>26183.38</v>
      </c>
      <c r="I260" s="77">
        <v>25946.97</v>
      </c>
      <c r="J260" s="77">
        <v>25709.57</v>
      </c>
      <c r="K260" s="77">
        <v>25803.93</v>
      </c>
      <c r="L260" s="99"/>
      <c r="M260" s="99"/>
      <c r="N260" s="99"/>
      <c r="O260" s="99"/>
      <c r="P260" s="99"/>
      <c r="Q260" s="100"/>
      <c r="R260" s="101"/>
      <c r="T260" s="97">
        <v>9000</v>
      </c>
      <c r="U260" s="77">
        <v>8090</v>
      </c>
      <c r="V260" s="77">
        <v>12070</v>
      </c>
    </row>
    <row r="261" spans="1:23">
      <c r="A261" s="107"/>
      <c r="B261" s="24" t="s">
        <v>136</v>
      </c>
      <c r="C261" s="25">
        <f t="shared" ref="C261:K261" si="83">IF(((C259="")*AND(C260="")),"",(C259-C260)*3)</f>
        <v>8903.73</v>
      </c>
      <c r="D261" s="25">
        <f t="shared" si="83"/>
        <v>9234.7200000000048</v>
      </c>
      <c r="E261" s="25">
        <f t="shared" si="83"/>
        <v>9163.8599999999969</v>
      </c>
      <c r="F261" s="25">
        <f t="shared" si="83"/>
        <v>9519.9899999999943</v>
      </c>
      <c r="G261" s="25">
        <f t="shared" si="83"/>
        <v>9655.02</v>
      </c>
      <c r="H261" s="25">
        <f t="shared" si="83"/>
        <v>8761.9199999999983</v>
      </c>
      <c r="I261" s="25">
        <f t="shared" si="83"/>
        <v>8906.7900000000009</v>
      </c>
      <c r="J261" s="25">
        <f t="shared" si="83"/>
        <v>9613.77</v>
      </c>
      <c r="K261" s="25">
        <f t="shared" si="83"/>
        <v>10053.029999999995</v>
      </c>
      <c r="L261" s="99"/>
      <c r="M261" s="99"/>
      <c r="N261" s="99"/>
      <c r="O261" s="99"/>
      <c r="P261" s="99"/>
      <c r="Q261" s="100"/>
      <c r="R261" s="101"/>
      <c r="T261" s="97">
        <v>9000</v>
      </c>
      <c r="U261" s="77">
        <v>8090</v>
      </c>
      <c r="V261" s="77">
        <v>12070</v>
      </c>
    </row>
    <row r="262" spans="1:23">
      <c r="A262" s="110">
        <v>43053</v>
      </c>
      <c r="B262" s="21" t="s">
        <v>133</v>
      </c>
      <c r="C262" s="112">
        <v>29538.89</v>
      </c>
      <c r="D262" s="112">
        <v>29321.81</v>
      </c>
      <c r="E262" s="112">
        <v>29372.93</v>
      </c>
      <c r="F262" s="112">
        <v>29308.42</v>
      </c>
      <c r="G262" s="112">
        <v>29506.81</v>
      </c>
      <c r="H262" s="112">
        <v>29477.14</v>
      </c>
      <c r="I262" s="112">
        <v>29308.81</v>
      </c>
      <c r="J262" s="112">
        <v>29313.74</v>
      </c>
      <c r="K262" s="112">
        <v>29491.91</v>
      </c>
      <c r="L262" s="24">
        <f>IF((K263=""),"",MAX(C264:K264))</f>
        <v>11038.109999999997</v>
      </c>
      <c r="M262" s="24">
        <f>IF(K263="","",MIN(C264:K264))</f>
        <v>9584.6099999999969</v>
      </c>
      <c r="N262" s="24">
        <f>IF((K264=""),"",AVERAGE(C264:K264))</f>
        <v>10365.450000000003</v>
      </c>
      <c r="O262" s="24">
        <f>IF((K263=""),"",STDEV(C264:K264))</f>
        <v>442.97330627809492</v>
      </c>
      <c r="P262" s="24">
        <f>IF((K263=""),"",O262/N262*100)</f>
        <v>4.2735559602148951</v>
      </c>
      <c r="Q262" s="26" t="str">
        <f>IF(K263="","",IF(P262&lt;15,IF(N262&gt;9000,IF(N262&lt;15600,"Pass","Fail"),"Fail"),"Fail"))</f>
        <v>Pass</v>
      </c>
      <c r="R262" s="113">
        <v>102</v>
      </c>
      <c r="S262" s="92" t="s">
        <v>193</v>
      </c>
      <c r="T262" s="97">
        <v>9000</v>
      </c>
      <c r="U262" s="77">
        <v>8090</v>
      </c>
      <c r="V262" s="77">
        <v>12070</v>
      </c>
      <c r="W262" s="77">
        <v>6</v>
      </c>
    </row>
    <row r="263" spans="1:23">
      <c r="A263" s="107"/>
      <c r="B263" s="21" t="s">
        <v>135</v>
      </c>
      <c r="C263" s="77">
        <v>26142.799999999999</v>
      </c>
      <c r="D263" s="77">
        <v>25852.19</v>
      </c>
      <c r="E263" s="77">
        <v>25976.55</v>
      </c>
      <c r="F263" s="77">
        <v>25780.63</v>
      </c>
      <c r="G263" s="77">
        <v>25945.72</v>
      </c>
      <c r="H263" s="77">
        <v>26282.27</v>
      </c>
      <c r="I263" s="77">
        <v>25999.7</v>
      </c>
      <c r="J263" s="77">
        <v>25751.71</v>
      </c>
      <c r="K263" s="77">
        <v>25812.54</v>
      </c>
      <c r="L263" s="99"/>
      <c r="M263" s="99"/>
      <c r="N263" s="99"/>
      <c r="O263" s="99"/>
      <c r="P263" s="99"/>
      <c r="Q263" s="100"/>
      <c r="R263" s="101"/>
      <c r="T263" s="97">
        <v>9000</v>
      </c>
      <c r="U263" s="77">
        <v>8090</v>
      </c>
      <c r="V263" s="77">
        <v>12070</v>
      </c>
    </row>
    <row r="264" spans="1:23" ht="15.75" thickBot="1">
      <c r="A264" s="108"/>
      <c r="B264" s="22" t="s">
        <v>136</v>
      </c>
      <c r="C264" s="23">
        <f t="shared" ref="C264:K264" si="84">IF(((C262="")*AND(C263="")),"",(C262-C263)*3)</f>
        <v>10188.27</v>
      </c>
      <c r="D264" s="23">
        <f t="shared" si="84"/>
        <v>10408.860000000008</v>
      </c>
      <c r="E264" s="23">
        <f t="shared" si="84"/>
        <v>10189.140000000003</v>
      </c>
      <c r="F264" s="23">
        <f t="shared" si="84"/>
        <v>10583.369999999992</v>
      </c>
      <c r="G264" s="23">
        <f t="shared" si="84"/>
        <v>10683.27</v>
      </c>
      <c r="H264" s="23">
        <f t="shared" si="84"/>
        <v>9584.6099999999969</v>
      </c>
      <c r="I264" s="23">
        <f t="shared" si="84"/>
        <v>9927.3300000000017</v>
      </c>
      <c r="J264" s="23">
        <f t="shared" si="84"/>
        <v>10686.090000000007</v>
      </c>
      <c r="K264" s="23">
        <f t="shared" si="84"/>
        <v>11038.109999999997</v>
      </c>
      <c r="L264" s="103"/>
      <c r="M264" s="103"/>
      <c r="N264" s="103"/>
      <c r="O264" s="103"/>
      <c r="P264" s="103"/>
      <c r="Q264" s="104"/>
      <c r="R264" s="105"/>
      <c r="T264" s="97">
        <v>9000</v>
      </c>
      <c r="U264" s="77">
        <v>8090</v>
      </c>
      <c r="V264" s="77">
        <v>12070</v>
      </c>
    </row>
    <row r="265" spans="1:23">
      <c r="A265" s="110">
        <v>43056</v>
      </c>
      <c r="B265" s="20" t="s">
        <v>133</v>
      </c>
      <c r="C265" s="77">
        <v>29459</v>
      </c>
      <c r="D265" s="77">
        <v>29253</v>
      </c>
      <c r="E265" s="77">
        <v>29311</v>
      </c>
      <c r="F265" s="77">
        <v>29276</v>
      </c>
      <c r="G265" s="77">
        <v>29453</v>
      </c>
      <c r="H265" s="77">
        <v>29445</v>
      </c>
      <c r="I265" s="77">
        <v>29263</v>
      </c>
      <c r="J265" s="77">
        <v>29267</v>
      </c>
      <c r="K265" s="77">
        <v>29443</v>
      </c>
      <c r="L265" s="94">
        <f>IF((K266=""),"",MAX(C267:K267))</f>
        <v>10704</v>
      </c>
      <c r="M265" s="94">
        <f>IF(K266="","",MIN(C267:K267))</f>
        <v>9501</v>
      </c>
      <c r="N265" s="94">
        <f>IF((K267=""),"",AVERAGE(C267:K267))</f>
        <v>9953.6666666666661</v>
      </c>
      <c r="O265" s="94">
        <f>IF((K266=""),"",STDEV(C267:K267))</f>
        <v>417.07133682381004</v>
      </c>
      <c r="P265" s="94">
        <f>IF((K266=""),"",O265/N265*100)</f>
        <v>4.1901276262396783</v>
      </c>
      <c r="Q265" s="95" t="str">
        <f>IF(K266="","",IF(P265&lt;15,IF(N265&gt;9000,IF(N265&lt;15600,"Pass","Fail"),"Fail"),"Fail"))</f>
        <v>Pass</v>
      </c>
      <c r="R265" s="96">
        <v>121</v>
      </c>
      <c r="S265" s="92" t="s">
        <v>194</v>
      </c>
      <c r="T265" s="97">
        <v>9000</v>
      </c>
      <c r="U265" s="77">
        <v>8090</v>
      </c>
      <c r="V265" s="77">
        <v>12070</v>
      </c>
      <c r="W265" s="77">
        <v>6</v>
      </c>
    </row>
    <row r="266" spans="1:23">
      <c r="A266" s="107"/>
      <c r="B266" s="21" t="s">
        <v>135</v>
      </c>
      <c r="C266" s="77">
        <v>26010</v>
      </c>
      <c r="D266" s="77">
        <v>25866</v>
      </c>
      <c r="E266" s="77">
        <v>26080</v>
      </c>
      <c r="F266" s="77">
        <v>25990</v>
      </c>
      <c r="G266" s="77">
        <v>26265</v>
      </c>
      <c r="H266" s="77">
        <v>25877</v>
      </c>
      <c r="I266" s="77">
        <v>25869</v>
      </c>
      <c r="J266" s="77">
        <v>26076</v>
      </c>
      <c r="K266" s="77">
        <v>26276</v>
      </c>
      <c r="L266" s="99"/>
      <c r="M266" s="99"/>
      <c r="N266" s="99"/>
      <c r="O266" s="99"/>
      <c r="P266" s="99"/>
      <c r="Q266" s="100"/>
      <c r="R266" s="101"/>
      <c r="T266" s="97">
        <v>9000</v>
      </c>
      <c r="U266" s="77">
        <v>8090</v>
      </c>
      <c r="V266" s="77">
        <v>12070</v>
      </c>
    </row>
    <row r="267" spans="1:23" ht="15.75" thickBot="1">
      <c r="A267" s="108"/>
      <c r="B267" s="22" t="s">
        <v>136</v>
      </c>
      <c r="C267" s="23">
        <f t="shared" ref="C267:K267" si="85">IF(((C265="")*AND(C266="")),"",(C265-C266)*3)</f>
        <v>10347</v>
      </c>
      <c r="D267" s="23">
        <f t="shared" si="85"/>
        <v>10161</v>
      </c>
      <c r="E267" s="23">
        <f t="shared" si="85"/>
        <v>9693</v>
      </c>
      <c r="F267" s="23">
        <f t="shared" si="85"/>
        <v>9858</v>
      </c>
      <c r="G267" s="23">
        <f t="shared" si="85"/>
        <v>9564</v>
      </c>
      <c r="H267" s="23">
        <f t="shared" si="85"/>
        <v>10704</v>
      </c>
      <c r="I267" s="23">
        <f t="shared" si="85"/>
        <v>10182</v>
      </c>
      <c r="J267" s="23">
        <f t="shared" si="85"/>
        <v>9573</v>
      </c>
      <c r="K267" s="23">
        <f t="shared" si="85"/>
        <v>9501</v>
      </c>
      <c r="L267" s="103"/>
      <c r="M267" s="103"/>
      <c r="N267" s="103"/>
      <c r="O267" s="103"/>
      <c r="P267" s="103"/>
      <c r="Q267" s="104"/>
      <c r="R267" s="105"/>
      <c r="T267" s="97">
        <v>9000</v>
      </c>
      <c r="U267" s="77">
        <v>8090</v>
      </c>
      <c r="V267" s="77">
        <v>12070</v>
      </c>
    </row>
    <row r="268" spans="1:23">
      <c r="A268" s="110">
        <v>43060</v>
      </c>
      <c r="B268" s="20" t="s">
        <v>133</v>
      </c>
      <c r="C268" s="77">
        <v>29380.79</v>
      </c>
      <c r="D268" s="77">
        <v>29238.83</v>
      </c>
      <c r="E268" s="77">
        <v>29297.89</v>
      </c>
      <c r="F268" s="77">
        <v>29254.76</v>
      </c>
      <c r="G268" s="77">
        <v>29476.63</v>
      </c>
      <c r="H268" s="77">
        <v>29387.87</v>
      </c>
      <c r="I268" s="77">
        <v>29225.17</v>
      </c>
      <c r="J268" s="77">
        <v>29233.7</v>
      </c>
      <c r="K268" s="77">
        <v>29422.07</v>
      </c>
      <c r="L268" s="94">
        <f>IF((K269=""),"",MAX(C270:K270))</f>
        <v>11512.589999999997</v>
      </c>
      <c r="M268" s="94">
        <f>IF(K269="","",MIN(C270:K270))</f>
        <v>10259.429999999993</v>
      </c>
      <c r="N268" s="94">
        <f>IF((K270=""),"",AVERAGE(C270:K270))</f>
        <v>10833.749999999998</v>
      </c>
      <c r="O268" s="94">
        <f>IF((K269=""),"",STDEV(C270:K270))</f>
        <v>404.09626167539494</v>
      </c>
      <c r="P268" s="94">
        <f>IF((K269=""),"",O268/N268*100)</f>
        <v>3.7299758779314178</v>
      </c>
      <c r="Q268" s="95" t="str">
        <f>IF(K269="","",IF(P268&lt;15,IF(N268&gt;9000,IF(N268&lt;15600,"Pass","Fail"),"Fail"),"Fail"))</f>
        <v>Pass</v>
      </c>
      <c r="R268" s="96">
        <v>1428</v>
      </c>
      <c r="S268" s="92" t="s">
        <v>195</v>
      </c>
      <c r="T268" s="97">
        <v>9000</v>
      </c>
      <c r="U268" s="77">
        <v>8090</v>
      </c>
      <c r="V268" s="77">
        <v>12070</v>
      </c>
      <c r="W268" s="77">
        <v>6</v>
      </c>
    </row>
    <row r="269" spans="1:23">
      <c r="A269" s="107"/>
      <c r="B269" s="21" t="s">
        <v>135</v>
      </c>
      <c r="C269" s="77">
        <v>25864.87</v>
      </c>
      <c r="D269" s="77">
        <v>25664.27</v>
      </c>
      <c r="E269" s="77">
        <v>25722.46</v>
      </c>
      <c r="F269" s="77">
        <v>25569.85</v>
      </c>
      <c r="G269" s="77">
        <v>25733.89</v>
      </c>
      <c r="H269" s="77">
        <v>25968.06</v>
      </c>
      <c r="I269" s="77">
        <v>25750.65</v>
      </c>
      <c r="J269" s="77">
        <v>25557.87</v>
      </c>
      <c r="K269" s="77">
        <v>25584.54</v>
      </c>
      <c r="L269" s="99"/>
      <c r="M269" s="99"/>
      <c r="N269" s="99"/>
      <c r="O269" s="99"/>
      <c r="P269" s="99"/>
      <c r="Q269" s="100"/>
      <c r="R269" s="101"/>
      <c r="T269" s="97">
        <v>9000</v>
      </c>
      <c r="U269" s="77">
        <v>8090</v>
      </c>
      <c r="V269" s="77">
        <v>12070</v>
      </c>
    </row>
    <row r="270" spans="1:23" ht="15.75" thickBot="1">
      <c r="A270" s="108"/>
      <c r="B270" s="22" t="s">
        <v>136</v>
      </c>
      <c r="C270" s="23">
        <f t="shared" ref="C270:K270" si="86">IF(((C268="")*AND(C269="")),"",(C268-C269)*3)</f>
        <v>10547.760000000006</v>
      </c>
      <c r="D270" s="23">
        <f t="shared" si="86"/>
        <v>10723.680000000004</v>
      </c>
      <c r="E270" s="23">
        <f t="shared" si="86"/>
        <v>10726.29</v>
      </c>
      <c r="F270" s="23">
        <f t="shared" si="86"/>
        <v>11054.73</v>
      </c>
      <c r="G270" s="23">
        <f t="shared" si="86"/>
        <v>11228.220000000005</v>
      </c>
      <c r="H270" s="23">
        <f t="shared" si="86"/>
        <v>10259.429999999993</v>
      </c>
      <c r="I270" s="23">
        <f t="shared" si="86"/>
        <v>10423.55999999999</v>
      </c>
      <c r="J270" s="23">
        <f t="shared" si="86"/>
        <v>11027.490000000005</v>
      </c>
      <c r="K270" s="23">
        <f t="shared" si="86"/>
        <v>11512.589999999997</v>
      </c>
      <c r="L270" s="103"/>
      <c r="M270" s="103"/>
      <c r="N270" s="103"/>
      <c r="O270" s="103"/>
      <c r="P270" s="103"/>
      <c r="Q270" s="104"/>
      <c r="R270" s="105"/>
      <c r="T270" s="97">
        <v>9000</v>
      </c>
      <c r="U270" s="77">
        <v>8090</v>
      </c>
      <c r="V270" s="77">
        <v>12070</v>
      </c>
    </row>
    <row r="271" spans="1:23">
      <c r="A271" s="110">
        <v>43063</v>
      </c>
      <c r="B271" s="20" t="s">
        <v>133</v>
      </c>
      <c r="C271" s="77">
        <v>29341.58</v>
      </c>
      <c r="D271" s="77">
        <v>29198.45</v>
      </c>
      <c r="E271" s="77">
        <v>29198.55</v>
      </c>
      <c r="F271" s="77">
        <v>29214.09</v>
      </c>
      <c r="G271" s="77">
        <v>29410.05</v>
      </c>
      <c r="H271" s="77">
        <v>29400.13</v>
      </c>
      <c r="I271" s="77">
        <v>29211.84</v>
      </c>
      <c r="J271" s="77">
        <v>29202.12</v>
      </c>
      <c r="K271" s="77">
        <v>29417.15</v>
      </c>
      <c r="L271" s="94">
        <f>IF((K272=""),"",MAX(C273:K273))</f>
        <v>12319.080000000002</v>
      </c>
      <c r="M271" s="94">
        <f>IF(K272="","",MIN(C273:K273))</f>
        <v>11016.48</v>
      </c>
      <c r="N271" s="94">
        <f>IF((K273=""),"",AVERAGE(C273:K273))</f>
        <v>11601.276666666665</v>
      </c>
      <c r="O271" s="94">
        <f>IF((K272=""),"",STDEV(C273:K273))</f>
        <v>409.91349639283487</v>
      </c>
      <c r="P271" s="94">
        <f>IF((K272=""),"",O271/N271*100)</f>
        <v>3.5333481665049646</v>
      </c>
      <c r="Q271" s="95" t="str">
        <f>IF(K272="","",IF(P271&lt;15,IF(N271&gt;9000,IF(N271&lt;15600,"Pass","Fail"),"Fail"),"Fail"))</f>
        <v>Pass</v>
      </c>
      <c r="R271" s="96">
        <v>1428</v>
      </c>
      <c r="S271" s="77" t="s">
        <v>196</v>
      </c>
      <c r="T271" s="97">
        <v>9000</v>
      </c>
      <c r="U271" s="77">
        <v>8090</v>
      </c>
      <c r="V271" s="77">
        <v>12070</v>
      </c>
      <c r="W271" s="77">
        <v>6</v>
      </c>
    </row>
    <row r="272" spans="1:23">
      <c r="A272" s="107"/>
      <c r="B272" s="21" t="s">
        <v>135</v>
      </c>
      <c r="C272" s="77">
        <v>25552.22</v>
      </c>
      <c r="D272" s="77">
        <v>25357.01</v>
      </c>
      <c r="E272" s="77">
        <v>25386.61</v>
      </c>
      <c r="F272" s="77">
        <v>25289.58</v>
      </c>
      <c r="G272" s="77">
        <v>25427.22</v>
      </c>
      <c r="H272" s="77">
        <v>25727.97</v>
      </c>
      <c r="I272" s="77">
        <v>25488.11</v>
      </c>
      <c r="J272" s="77">
        <v>25250.62</v>
      </c>
      <c r="K272" s="77">
        <v>25310.79</v>
      </c>
      <c r="L272" s="99"/>
      <c r="M272" s="99"/>
      <c r="N272" s="99"/>
      <c r="O272" s="99"/>
      <c r="P272" s="99"/>
      <c r="Q272" s="100"/>
      <c r="R272" s="101"/>
      <c r="T272" s="97">
        <v>9000</v>
      </c>
      <c r="U272" s="77">
        <v>8090</v>
      </c>
      <c r="V272" s="77">
        <v>12070</v>
      </c>
    </row>
    <row r="273" spans="1:23" ht="15.75" thickBot="1">
      <c r="A273" s="108"/>
      <c r="B273" s="22" t="s">
        <v>136</v>
      </c>
      <c r="C273" s="23">
        <f t="shared" ref="C273:K273" si="87">IF(((C271="")*AND(C272="")),"",(C271-C272)*3)</f>
        <v>11368.080000000002</v>
      </c>
      <c r="D273" s="23">
        <f t="shared" si="87"/>
        <v>11524.320000000007</v>
      </c>
      <c r="E273" s="23">
        <f t="shared" si="87"/>
        <v>11435.819999999996</v>
      </c>
      <c r="F273" s="23">
        <f t="shared" si="87"/>
        <v>11773.529999999995</v>
      </c>
      <c r="G273" s="23">
        <f t="shared" si="87"/>
        <v>11948.489999999994</v>
      </c>
      <c r="H273" s="23">
        <f t="shared" si="87"/>
        <v>11016.48</v>
      </c>
      <c r="I273" s="23">
        <f t="shared" si="87"/>
        <v>11171.189999999999</v>
      </c>
      <c r="J273" s="23">
        <f t="shared" si="87"/>
        <v>11854.5</v>
      </c>
      <c r="K273" s="23">
        <f t="shared" si="87"/>
        <v>12319.080000000002</v>
      </c>
      <c r="L273" s="103"/>
      <c r="M273" s="103"/>
      <c r="N273" s="103"/>
      <c r="O273" s="103"/>
      <c r="P273" s="103"/>
      <c r="Q273" s="104"/>
      <c r="R273" s="105"/>
      <c r="T273" s="97">
        <v>9000</v>
      </c>
      <c r="U273" s="77">
        <v>8090</v>
      </c>
      <c r="V273" s="77">
        <v>12070</v>
      </c>
    </row>
    <row r="274" spans="1:23">
      <c r="A274" s="110">
        <v>43063</v>
      </c>
      <c r="B274" s="20" t="s">
        <v>133</v>
      </c>
      <c r="C274" s="77">
        <v>29535.27</v>
      </c>
      <c r="D274" s="77">
        <v>29345.91</v>
      </c>
      <c r="E274" s="77">
        <v>29414.32</v>
      </c>
      <c r="F274" s="77">
        <v>29337.37</v>
      </c>
      <c r="G274" s="77">
        <v>29528.37</v>
      </c>
      <c r="H274" s="77">
        <v>29456.54</v>
      </c>
      <c r="I274" s="77">
        <v>29321.07</v>
      </c>
      <c r="J274" s="77">
        <v>29345.83</v>
      </c>
      <c r="K274" s="77">
        <v>29565.91</v>
      </c>
      <c r="L274" s="94">
        <f>IF((K275=""),"",MAX(C276:K276))</f>
        <v>12010.02</v>
      </c>
      <c r="M274" s="94">
        <f>IF(K275="","",MIN(C276:K276))</f>
        <v>10601.220000000005</v>
      </c>
      <c r="N274" s="94">
        <f>IF((K276=""),"",AVERAGE(C276:K276))</f>
        <v>11284.916666666668</v>
      </c>
      <c r="O274" s="94">
        <f>IF((K275=""),"",STDEV(C276:K276))</f>
        <v>427.99679566548917</v>
      </c>
      <c r="P274" s="94">
        <f>IF((K275=""),"",O274/N274*100)</f>
        <v>3.7926447160190739</v>
      </c>
      <c r="Q274" s="95" t="str">
        <f>IF(K275="","",IF(P274&lt;15,IF(N274&gt;9000,IF(N274&lt;15600,"Pass","Fail"),"Fail"),"Fail"))</f>
        <v>Pass</v>
      </c>
      <c r="R274" s="96">
        <v>1335</v>
      </c>
      <c r="S274" s="77" t="s">
        <v>197</v>
      </c>
      <c r="T274" s="97">
        <v>9000</v>
      </c>
      <c r="U274" s="77">
        <v>8090</v>
      </c>
      <c r="V274" s="77">
        <v>12070</v>
      </c>
      <c r="W274" s="77">
        <v>6</v>
      </c>
    </row>
    <row r="275" spans="1:23">
      <c r="A275" s="107"/>
      <c r="B275" s="21" t="s">
        <v>135</v>
      </c>
      <c r="C275" s="77">
        <v>25853.439999999999</v>
      </c>
      <c r="D275" s="77">
        <v>25594.7</v>
      </c>
      <c r="E275" s="77">
        <v>25681.11</v>
      </c>
      <c r="F275" s="77">
        <v>25506.22</v>
      </c>
      <c r="G275" s="77">
        <v>25700.44</v>
      </c>
      <c r="H275" s="77">
        <v>25922.799999999999</v>
      </c>
      <c r="I275" s="77">
        <v>25708.09</v>
      </c>
      <c r="J275" s="77">
        <v>25466.47</v>
      </c>
      <c r="K275" s="77">
        <v>25562.57</v>
      </c>
      <c r="L275" s="99"/>
      <c r="M275" s="99"/>
      <c r="N275" s="99"/>
      <c r="O275" s="99"/>
      <c r="P275" s="99"/>
      <c r="Q275" s="100"/>
      <c r="R275" s="101"/>
      <c r="T275" s="97">
        <v>9000</v>
      </c>
      <c r="U275" s="77">
        <v>8090</v>
      </c>
      <c r="V275" s="77">
        <v>12070</v>
      </c>
    </row>
    <row r="276" spans="1:23" ht="15.75" thickBot="1">
      <c r="A276" s="108"/>
      <c r="B276" s="22" t="s">
        <v>136</v>
      </c>
      <c r="C276" s="23">
        <f t="shared" ref="C276:K276" si="88">IF(((C274="")*AND(C275="")),"",(C274-C275)*3)</f>
        <v>11045.490000000005</v>
      </c>
      <c r="D276" s="23">
        <f t="shared" si="88"/>
        <v>11253.629999999997</v>
      </c>
      <c r="E276" s="23">
        <f t="shared" si="88"/>
        <v>11199.629999999997</v>
      </c>
      <c r="F276" s="23">
        <f t="shared" si="88"/>
        <v>11493.449999999993</v>
      </c>
      <c r="G276" s="23">
        <f t="shared" si="88"/>
        <v>11483.79</v>
      </c>
      <c r="H276" s="23">
        <f t="shared" si="88"/>
        <v>10601.220000000005</v>
      </c>
      <c r="I276" s="23">
        <f t="shared" si="88"/>
        <v>10838.939999999999</v>
      </c>
      <c r="J276" s="23">
        <f t="shared" si="88"/>
        <v>11638.080000000002</v>
      </c>
      <c r="K276" s="23">
        <f t="shared" si="88"/>
        <v>12010.02</v>
      </c>
      <c r="L276" s="103"/>
      <c r="M276" s="103"/>
      <c r="N276" s="103"/>
      <c r="O276" s="103"/>
      <c r="P276" s="103"/>
      <c r="Q276" s="104"/>
      <c r="R276" s="105"/>
      <c r="T276" s="97">
        <v>9000</v>
      </c>
      <c r="U276" s="77">
        <v>8090</v>
      </c>
      <c r="V276" s="77">
        <v>12070</v>
      </c>
    </row>
    <row r="277" spans="1:23">
      <c r="A277" s="110">
        <v>43063</v>
      </c>
      <c r="B277" s="20" t="s">
        <v>133</v>
      </c>
      <c r="C277" s="77">
        <v>29485.27</v>
      </c>
      <c r="D277" s="77">
        <v>29331.29</v>
      </c>
      <c r="E277" s="77">
        <v>29325.88</v>
      </c>
      <c r="F277" s="77">
        <v>29331.24</v>
      </c>
      <c r="G277" s="77">
        <v>29546.84</v>
      </c>
      <c r="H277" s="77">
        <v>29491.06</v>
      </c>
      <c r="I277" s="77">
        <v>29323.99</v>
      </c>
      <c r="J277" s="77">
        <v>29327.05</v>
      </c>
      <c r="K277" s="77">
        <v>29544.25</v>
      </c>
      <c r="L277" s="94">
        <f>IF((K278=""),"",MAX(C279:K279))</f>
        <v>10950.450000000004</v>
      </c>
      <c r="M277" s="94">
        <f>IF(K278="","",MIN(C279:K279))</f>
        <v>9498.6600000000035</v>
      </c>
      <c r="N277" s="94">
        <f>IF((K279=""),"",AVERAGE(C279:K279))</f>
        <v>10177.813333333337</v>
      </c>
      <c r="O277" s="94">
        <f>IF((K278=""),"",STDEV(C279:K279))</f>
        <v>456.34069742354569</v>
      </c>
      <c r="P277" s="94">
        <f>IF((K278=""),"",O277/N277*100)</f>
        <v>4.4836811452317082</v>
      </c>
      <c r="Q277" s="95" t="str">
        <f>IF(K278="","",IF(P277&lt;15,IF(N277&gt;9000,IF(N277&lt;15600,"Pass","Fail"),"Fail"),"Fail"))</f>
        <v>Pass</v>
      </c>
      <c r="R277" s="96">
        <v>121</v>
      </c>
      <c r="S277" s="77" t="s">
        <v>198</v>
      </c>
      <c r="T277" s="97">
        <v>9000</v>
      </c>
      <c r="U277" s="77">
        <v>8090</v>
      </c>
      <c r="V277" s="77">
        <v>12070</v>
      </c>
      <c r="W277" s="77">
        <v>6</v>
      </c>
    </row>
    <row r="278" spans="1:23">
      <c r="A278" s="107"/>
      <c r="B278" s="21" t="s">
        <v>135</v>
      </c>
      <c r="C278" s="77">
        <v>26215.86</v>
      </c>
      <c r="D278" s="77">
        <v>25951.94</v>
      </c>
      <c r="E278" s="77">
        <v>25966.01</v>
      </c>
      <c r="F278" s="77">
        <v>25866.28</v>
      </c>
      <c r="G278" s="77">
        <v>26082.55</v>
      </c>
      <c r="H278" s="77">
        <v>26324.84</v>
      </c>
      <c r="I278" s="77">
        <v>26077.07</v>
      </c>
      <c r="J278" s="77">
        <v>25794.78</v>
      </c>
      <c r="K278" s="77">
        <v>25894.1</v>
      </c>
      <c r="L278" s="99"/>
      <c r="M278" s="99"/>
      <c r="N278" s="99"/>
      <c r="O278" s="99"/>
      <c r="P278" s="99"/>
      <c r="Q278" s="100"/>
      <c r="R278" s="101"/>
      <c r="T278" s="97">
        <v>9000</v>
      </c>
      <c r="U278" s="77">
        <v>8090</v>
      </c>
      <c r="V278" s="77">
        <v>12070</v>
      </c>
    </row>
    <row r="279" spans="1:23" ht="15.75" thickBot="1">
      <c r="A279" s="108"/>
      <c r="B279" s="22" t="s">
        <v>136</v>
      </c>
      <c r="C279" s="23">
        <f t="shared" ref="C279:K279" si="89">IF(((C277="")*AND(C278="")),"",(C277-C278)*3)</f>
        <v>9808.23</v>
      </c>
      <c r="D279" s="23">
        <f t="shared" si="89"/>
        <v>10138.050000000007</v>
      </c>
      <c r="E279" s="23">
        <f t="shared" si="89"/>
        <v>10079.610000000008</v>
      </c>
      <c r="F279" s="23">
        <f t="shared" si="89"/>
        <v>10394.880000000008</v>
      </c>
      <c r="G279" s="23">
        <f t="shared" si="89"/>
        <v>10392.870000000003</v>
      </c>
      <c r="H279" s="23">
        <f t="shared" si="89"/>
        <v>9498.6600000000035</v>
      </c>
      <c r="I279" s="23">
        <f t="shared" si="89"/>
        <v>9740.7600000000057</v>
      </c>
      <c r="J279" s="23">
        <f t="shared" si="89"/>
        <v>10596.810000000001</v>
      </c>
      <c r="K279" s="23">
        <f t="shared" si="89"/>
        <v>10950.450000000004</v>
      </c>
      <c r="L279" s="103"/>
      <c r="M279" s="103"/>
      <c r="N279" s="103"/>
      <c r="O279" s="103"/>
      <c r="P279" s="103"/>
      <c r="Q279" s="104"/>
      <c r="R279" s="105"/>
      <c r="T279" s="97">
        <v>9000</v>
      </c>
      <c r="U279" s="77">
        <v>8090</v>
      </c>
      <c r="V279" s="77">
        <v>12070</v>
      </c>
    </row>
    <row r="280" spans="1:23">
      <c r="A280" s="110">
        <v>43068</v>
      </c>
      <c r="B280" s="20" t="s">
        <v>133</v>
      </c>
      <c r="C280" s="77">
        <v>29411.56</v>
      </c>
      <c r="D280" s="77">
        <v>29249.599999999999</v>
      </c>
      <c r="E280" s="77">
        <v>29310.27</v>
      </c>
      <c r="F280" s="77">
        <v>29251.45</v>
      </c>
      <c r="G280" s="77">
        <v>29510.67</v>
      </c>
      <c r="H280" s="77">
        <v>29382.78</v>
      </c>
      <c r="I280" s="77">
        <v>29242.07</v>
      </c>
      <c r="J280" s="77">
        <v>29242</v>
      </c>
      <c r="K280" s="77">
        <v>29494.33</v>
      </c>
      <c r="L280" s="94">
        <f>IF((K281=""),"",MAX(C282:K282))</f>
        <v>10548.450000000004</v>
      </c>
      <c r="M280" s="94">
        <f>IF(K281="","",MIN(C282:K282))</f>
        <v>9277.3199999999961</v>
      </c>
      <c r="N280" s="94">
        <f>IF((K282=""),"",AVERAGE(C282:K282))</f>
        <v>9829.0133333333324</v>
      </c>
      <c r="O280" s="94">
        <f>IF((K281=""),"",STDEV(C282:K282))</f>
        <v>411.96343560445342</v>
      </c>
      <c r="P280" s="94">
        <f>IF((K281=""),"",O280/N280*100)</f>
        <v>4.1912999976035588</v>
      </c>
      <c r="Q280" s="95" t="str">
        <f>IF(K281="","",IF(P280&lt;15,IF(N280&gt;9000,IF(N280&lt;15600,"Pass","Fail"),"Fail"),"Fail"))</f>
        <v>Pass</v>
      </c>
      <c r="R280" s="96">
        <v>1335</v>
      </c>
      <c r="S280" s="77" t="s">
        <v>199</v>
      </c>
      <c r="T280" s="97">
        <v>9000</v>
      </c>
      <c r="U280" s="77">
        <v>8090</v>
      </c>
      <c r="V280" s="77">
        <v>12070</v>
      </c>
      <c r="W280" s="77">
        <v>6</v>
      </c>
    </row>
    <row r="281" spans="1:23">
      <c r="A281" s="107"/>
      <c r="B281" s="21" t="s">
        <v>135</v>
      </c>
      <c r="C281" s="77">
        <v>26270.25</v>
      </c>
      <c r="D281" s="77">
        <v>25977.19</v>
      </c>
      <c r="E281" s="77">
        <v>26060.12</v>
      </c>
      <c r="F281" s="77">
        <v>25910.21</v>
      </c>
      <c r="G281" s="77">
        <v>26181.26</v>
      </c>
      <c r="H281" s="77">
        <v>26290.34</v>
      </c>
      <c r="I281" s="77">
        <v>26099.58</v>
      </c>
      <c r="J281" s="77">
        <v>25840.560000000001</v>
      </c>
      <c r="K281" s="77">
        <v>25978.18</v>
      </c>
      <c r="L281" s="99"/>
      <c r="M281" s="99"/>
      <c r="N281" s="99"/>
      <c r="O281" s="99"/>
      <c r="P281" s="99"/>
      <c r="Q281" s="100"/>
      <c r="R281" s="101"/>
      <c r="T281" s="97">
        <v>9000</v>
      </c>
      <c r="U281" s="77">
        <v>8090</v>
      </c>
      <c r="V281" s="77">
        <v>12070</v>
      </c>
    </row>
    <row r="282" spans="1:23" ht="15.75" thickBot="1">
      <c r="A282" s="108"/>
      <c r="B282" s="22" t="s">
        <v>136</v>
      </c>
      <c r="C282" s="23">
        <f t="shared" ref="C282:K282" si="90">IF(((C280="")*AND(C281="")),"",(C280-C281)*3)</f>
        <v>9423.9300000000039</v>
      </c>
      <c r="D282" s="23">
        <f t="shared" si="90"/>
        <v>9817.23</v>
      </c>
      <c r="E282" s="23">
        <f t="shared" si="90"/>
        <v>9750.4500000000044</v>
      </c>
      <c r="F282" s="23">
        <f t="shared" si="90"/>
        <v>10023.720000000005</v>
      </c>
      <c r="G282" s="23">
        <f t="shared" si="90"/>
        <v>9988.23</v>
      </c>
      <c r="H282" s="23">
        <f t="shared" si="90"/>
        <v>9277.3199999999961</v>
      </c>
      <c r="I282" s="23">
        <f t="shared" si="90"/>
        <v>9427.4699999999939</v>
      </c>
      <c r="J282" s="23">
        <f t="shared" si="90"/>
        <v>10204.319999999996</v>
      </c>
      <c r="K282" s="23">
        <f t="shared" si="90"/>
        <v>10548.450000000004</v>
      </c>
      <c r="L282" s="103"/>
      <c r="M282" s="103"/>
      <c r="N282" s="103"/>
      <c r="O282" s="103"/>
      <c r="P282" s="103"/>
      <c r="Q282" s="104"/>
      <c r="R282" s="105"/>
      <c r="T282" s="97">
        <v>9000</v>
      </c>
      <c r="U282" s="77">
        <v>8090</v>
      </c>
      <c r="V282" s="77">
        <v>12070</v>
      </c>
    </row>
    <row r="283" spans="1:23">
      <c r="A283" s="110">
        <v>43043</v>
      </c>
      <c r="B283" s="20" t="s">
        <v>133</v>
      </c>
      <c r="C283" s="77">
        <v>29324.05</v>
      </c>
      <c r="D283" s="77">
        <v>29174.59</v>
      </c>
      <c r="E283" s="77">
        <v>29244.16</v>
      </c>
      <c r="F283" s="77">
        <v>29185</v>
      </c>
      <c r="G283" s="77">
        <v>29401.17</v>
      </c>
      <c r="H283" s="77">
        <v>29322.79</v>
      </c>
      <c r="I283" s="77">
        <v>29159.95</v>
      </c>
      <c r="J283" s="77">
        <v>29177.51</v>
      </c>
      <c r="K283" s="77">
        <v>29377.72</v>
      </c>
      <c r="L283" s="94">
        <f>IF((K284=""),"",MAX(C285:K285))</f>
        <v>9796.4399999999987</v>
      </c>
      <c r="M283" s="94">
        <f>IF(K284="","",MIN(C285:K285))</f>
        <v>8618.0699999999961</v>
      </c>
      <c r="N283" s="94">
        <f>IF((K285=""),"",AVERAGE(C285:K285))</f>
        <v>9137.2233333333334</v>
      </c>
      <c r="O283" s="94">
        <f>IF((K284=""),"",STDEV(C285:K285))</f>
        <v>408.99512570445319</v>
      </c>
      <c r="P283" s="94">
        <f>IF((K284=""),"",O283/N283*100)</f>
        <v>4.4761423769998681</v>
      </c>
      <c r="Q283" s="95" t="str">
        <f>IF(K284="","",IF(P283&lt;15,IF(N283&gt;9000,IF(N283&lt;15600,"Pass","Fail"),"Fail"),"Fail"))</f>
        <v>Pass</v>
      </c>
      <c r="R283" s="96">
        <v>1428</v>
      </c>
      <c r="S283" s="77" t="s">
        <v>181</v>
      </c>
      <c r="T283" s="97">
        <v>9000</v>
      </c>
      <c r="U283" s="77">
        <v>8090</v>
      </c>
      <c r="V283" s="77">
        <v>12070</v>
      </c>
      <c r="W283" s="77">
        <v>6</v>
      </c>
    </row>
    <row r="284" spans="1:23">
      <c r="A284" s="107"/>
      <c r="B284" s="21" t="s">
        <v>135</v>
      </c>
      <c r="C284" s="77">
        <v>26198.720000000001</v>
      </c>
      <c r="D284" s="77">
        <v>26049.62</v>
      </c>
      <c r="E284" s="77">
        <v>26219.279999999999</v>
      </c>
      <c r="F284" s="77">
        <v>26170.1</v>
      </c>
      <c r="G284" s="77">
        <v>26528.48</v>
      </c>
      <c r="H284" s="77">
        <v>26057.31</v>
      </c>
      <c r="I284" s="77">
        <v>25987.08</v>
      </c>
      <c r="J284" s="77">
        <v>26251.77</v>
      </c>
      <c r="K284" s="77">
        <v>26492.91</v>
      </c>
      <c r="L284" s="99"/>
      <c r="M284" s="99"/>
      <c r="N284" s="99"/>
      <c r="O284" s="99"/>
      <c r="P284" s="99"/>
      <c r="Q284" s="100"/>
      <c r="R284" s="101"/>
      <c r="T284" s="97">
        <v>9000</v>
      </c>
      <c r="U284" s="77">
        <v>8090</v>
      </c>
      <c r="V284" s="77">
        <v>12070</v>
      </c>
    </row>
    <row r="285" spans="1:23" ht="15.75" thickBot="1">
      <c r="A285" s="108"/>
      <c r="B285" s="22" t="s">
        <v>136</v>
      </c>
      <c r="C285" s="23">
        <f t="shared" ref="C285:K285" si="91">IF(((C283="")*AND(C284="")),"",(C283-C284)*3)</f>
        <v>9375.9899999999943</v>
      </c>
      <c r="D285" s="23">
        <f t="shared" si="91"/>
        <v>9374.9100000000035</v>
      </c>
      <c r="E285" s="23">
        <f t="shared" si="91"/>
        <v>9074.6400000000031</v>
      </c>
      <c r="F285" s="23">
        <f t="shared" si="91"/>
        <v>9044.7000000000044</v>
      </c>
      <c r="G285" s="23">
        <f t="shared" si="91"/>
        <v>8618.0699999999961</v>
      </c>
      <c r="H285" s="23">
        <f t="shared" si="91"/>
        <v>9796.4399999999987</v>
      </c>
      <c r="I285" s="23">
        <f t="shared" si="91"/>
        <v>9518.6099999999969</v>
      </c>
      <c r="J285" s="23">
        <f t="shared" si="91"/>
        <v>8777.2199999999939</v>
      </c>
      <c r="K285" s="23">
        <f t="shared" si="91"/>
        <v>8654.4300000000039</v>
      </c>
      <c r="L285" s="103"/>
      <c r="M285" s="103"/>
      <c r="N285" s="103"/>
      <c r="O285" s="103"/>
      <c r="P285" s="103"/>
      <c r="Q285" s="104"/>
      <c r="R285" s="105"/>
      <c r="T285" s="97">
        <v>9000</v>
      </c>
      <c r="U285" s="77">
        <v>8090</v>
      </c>
      <c r="V285" s="77">
        <v>12070</v>
      </c>
    </row>
    <row r="286" spans="1:23">
      <c r="A286" s="110">
        <v>43073</v>
      </c>
      <c r="B286" s="20" t="s">
        <v>133</v>
      </c>
      <c r="C286" s="77">
        <v>29578.5</v>
      </c>
      <c r="D286" s="77">
        <v>29401.05</v>
      </c>
      <c r="E286" s="77">
        <v>29453.71</v>
      </c>
      <c r="F286" s="77">
        <v>29385.85</v>
      </c>
      <c r="G286" s="77">
        <v>29564.58</v>
      </c>
      <c r="H286" s="77">
        <v>29499.85</v>
      </c>
      <c r="I286" s="77">
        <v>29373.119999999999</v>
      </c>
      <c r="J286" s="77">
        <v>29390.29</v>
      </c>
      <c r="K286" s="77">
        <v>29621.59</v>
      </c>
      <c r="L286" s="94">
        <f>IF((K287=""),"",MAX(C288:K288))</f>
        <v>11356.919999999998</v>
      </c>
      <c r="M286" s="94">
        <f>IF(K287="","",MIN(C288:K288))</f>
        <v>10137.75</v>
      </c>
      <c r="N286" s="94">
        <f>IF((K288=""),"",AVERAGE(C288:K288))</f>
        <v>10776.626666666663</v>
      </c>
      <c r="O286" s="94">
        <f>IF((K287=""),"",STDEV(C288:K288))</f>
        <v>392.28511404341606</v>
      </c>
      <c r="P286" s="94">
        <f>IF((K287=""),"",O286/N286*100)</f>
        <v>3.6401475728652524</v>
      </c>
      <c r="Q286" s="95" t="str">
        <f>IF(K287="","",IF(P286&lt;15,IF(N286&gt;9000,IF(N286&lt;15600,"Pass","Fail"),"Fail"),"Fail"))</f>
        <v>Pass</v>
      </c>
      <c r="R286" s="96">
        <v>102</v>
      </c>
      <c r="T286" s="97">
        <v>9000</v>
      </c>
      <c r="U286" s="77">
        <v>8090</v>
      </c>
      <c r="V286" s="77">
        <v>12070</v>
      </c>
      <c r="W286" s="77">
        <v>6</v>
      </c>
    </row>
    <row r="287" spans="1:23">
      <c r="A287" s="107"/>
      <c r="B287" s="21" t="s">
        <v>135</v>
      </c>
      <c r="C287" s="77">
        <v>26108.74</v>
      </c>
      <c r="D287" s="77">
        <v>25788.79</v>
      </c>
      <c r="E287" s="77">
        <v>25862.46</v>
      </c>
      <c r="F287" s="77">
        <v>25717.77</v>
      </c>
      <c r="G287" s="77">
        <v>25921.47</v>
      </c>
      <c r="H287" s="77">
        <v>26120.6</v>
      </c>
      <c r="I287" s="77">
        <v>25905.88</v>
      </c>
      <c r="J287" s="77">
        <v>25677</v>
      </c>
      <c r="K287" s="77">
        <v>25835.95</v>
      </c>
      <c r="L287" s="99"/>
      <c r="M287" s="99"/>
      <c r="N287" s="99"/>
      <c r="O287" s="99"/>
      <c r="P287" s="99"/>
      <c r="Q287" s="100"/>
      <c r="R287" s="101"/>
      <c r="T287" s="97">
        <v>9000</v>
      </c>
      <c r="U287" s="77">
        <v>8090</v>
      </c>
      <c r="V287" s="77">
        <v>12070</v>
      </c>
    </row>
    <row r="288" spans="1:23" ht="15.75" thickBot="1">
      <c r="A288" s="108"/>
      <c r="B288" s="22" t="s">
        <v>136</v>
      </c>
      <c r="C288" s="23">
        <f t="shared" ref="C288:K288" si="92">IF(((C286="")*AND(C287="")),"",(C286-C287)*3)</f>
        <v>10409.279999999995</v>
      </c>
      <c r="D288" s="23">
        <f t="shared" si="92"/>
        <v>10836.779999999995</v>
      </c>
      <c r="E288" s="23">
        <f t="shared" si="92"/>
        <v>10773.75</v>
      </c>
      <c r="F288" s="23">
        <f t="shared" si="92"/>
        <v>11004.239999999994</v>
      </c>
      <c r="G288" s="23">
        <f t="shared" si="92"/>
        <v>10929.330000000002</v>
      </c>
      <c r="H288" s="23">
        <f t="shared" si="92"/>
        <v>10137.75</v>
      </c>
      <c r="I288" s="23">
        <f t="shared" si="92"/>
        <v>10401.719999999994</v>
      </c>
      <c r="J288" s="23">
        <f t="shared" si="92"/>
        <v>11139.870000000003</v>
      </c>
      <c r="K288" s="23">
        <f t="shared" si="92"/>
        <v>11356.919999999998</v>
      </c>
      <c r="L288" s="103"/>
      <c r="M288" s="103"/>
      <c r="N288" s="103"/>
      <c r="O288" s="103"/>
      <c r="P288" s="103"/>
      <c r="Q288" s="104"/>
      <c r="R288" s="105"/>
      <c r="T288" s="97">
        <v>9000</v>
      </c>
      <c r="U288" s="77">
        <v>8090</v>
      </c>
      <c r="V288" s="77">
        <v>12070</v>
      </c>
    </row>
    <row r="289" spans="1:23">
      <c r="A289" s="110">
        <v>43076</v>
      </c>
      <c r="B289" s="20" t="s">
        <v>133</v>
      </c>
      <c r="C289" s="77">
        <v>29293.75</v>
      </c>
      <c r="D289" s="77">
        <v>29155.54</v>
      </c>
      <c r="E289" s="77">
        <v>29221.919999999998</v>
      </c>
      <c r="F289" s="77">
        <v>29132.32</v>
      </c>
      <c r="G289" s="77">
        <v>29337.77</v>
      </c>
      <c r="H289" s="77">
        <v>29290.81</v>
      </c>
      <c r="I289" s="77">
        <v>29136.51</v>
      </c>
      <c r="J289" s="77">
        <v>29153.5</v>
      </c>
      <c r="K289" s="77">
        <v>29357.98</v>
      </c>
      <c r="L289" s="94">
        <f>IF((K290=""),"",MAX(C291:K291))</f>
        <v>10269.990000000005</v>
      </c>
      <c r="M289" s="94">
        <f>IF(K290="","",MIN(C291:K291))</f>
        <v>8964.6899999999987</v>
      </c>
      <c r="N289" s="94">
        <f>IF((K291=""),"",AVERAGE(C291:K291))</f>
        <v>9582.19</v>
      </c>
      <c r="O289" s="94">
        <f>IF((K290=""),"",STDEV(C291:K291))</f>
        <v>421.13773604962046</v>
      </c>
      <c r="P289" s="94">
        <f>IF((K290=""),"",O289/N289*100)</f>
        <v>4.3950050672092758</v>
      </c>
      <c r="Q289" s="95" t="str">
        <f>IF(K290="","",IF(P289&lt;15,IF(N289&gt;9000,IF(N289&lt;15600,"Pass","Fail"),"Fail"),"Fail"))</f>
        <v>Pass</v>
      </c>
      <c r="R289" s="96">
        <v>103</v>
      </c>
      <c r="T289" s="97">
        <v>9000</v>
      </c>
      <c r="U289" s="77">
        <v>8090</v>
      </c>
      <c r="V289" s="77">
        <v>12070</v>
      </c>
      <c r="W289" s="77">
        <v>6</v>
      </c>
    </row>
    <row r="290" spans="1:23">
      <c r="A290" s="107"/>
      <c r="B290" s="21" t="s">
        <v>135</v>
      </c>
      <c r="C290" s="77">
        <v>26045.75</v>
      </c>
      <c r="D290" s="77">
        <v>25875.62</v>
      </c>
      <c r="E290" s="77">
        <v>26026.3</v>
      </c>
      <c r="F290" s="77">
        <v>25967.08</v>
      </c>
      <c r="G290" s="77">
        <v>26349.54</v>
      </c>
      <c r="H290" s="77">
        <v>25867.48</v>
      </c>
      <c r="I290" s="77">
        <v>25817.17</v>
      </c>
      <c r="J290" s="77">
        <v>26060.14</v>
      </c>
      <c r="K290" s="77">
        <v>26324.45</v>
      </c>
      <c r="L290" s="99"/>
      <c r="M290" s="99"/>
      <c r="N290" s="99"/>
      <c r="O290" s="99"/>
      <c r="P290" s="99"/>
      <c r="Q290" s="100"/>
      <c r="R290" s="101"/>
      <c r="T290" s="97">
        <v>9000</v>
      </c>
      <c r="U290" s="77">
        <v>8090</v>
      </c>
      <c r="V290" s="77">
        <v>12070</v>
      </c>
    </row>
    <row r="291" spans="1:23" ht="15.75" thickBot="1">
      <c r="A291" s="108"/>
      <c r="B291" s="22" t="s">
        <v>136</v>
      </c>
      <c r="C291" s="23">
        <f t="shared" ref="C291:K291" si="93">IF(((C289="")*AND(C290="")),"",(C289-C290)*3)</f>
        <v>9744</v>
      </c>
      <c r="D291" s="23">
        <f t="shared" si="93"/>
        <v>9839.7600000000057</v>
      </c>
      <c r="E291" s="23">
        <f t="shared" si="93"/>
        <v>9586.8599999999969</v>
      </c>
      <c r="F291" s="23">
        <f t="shared" si="93"/>
        <v>9495.7199999999939</v>
      </c>
      <c r="G291" s="23">
        <f t="shared" si="93"/>
        <v>8964.6899999999987</v>
      </c>
      <c r="H291" s="23">
        <f t="shared" si="93"/>
        <v>10269.990000000005</v>
      </c>
      <c r="I291" s="23">
        <f t="shared" si="93"/>
        <v>9958.02</v>
      </c>
      <c r="J291" s="23">
        <f t="shared" si="93"/>
        <v>9280.0800000000017</v>
      </c>
      <c r="K291" s="23">
        <f t="shared" si="93"/>
        <v>9100.5899999999965</v>
      </c>
      <c r="L291" s="103"/>
      <c r="M291" s="103"/>
      <c r="N291" s="103"/>
      <c r="O291" s="103"/>
      <c r="P291" s="103"/>
      <c r="Q291" s="104"/>
      <c r="R291" s="105"/>
      <c r="T291" s="97">
        <v>9000</v>
      </c>
      <c r="U291" s="77">
        <v>8090</v>
      </c>
      <c r="V291" s="77">
        <v>12070</v>
      </c>
    </row>
    <row r="292" spans="1:23">
      <c r="A292" s="110">
        <v>43081</v>
      </c>
      <c r="B292" s="20" t="s">
        <v>133</v>
      </c>
      <c r="C292" s="77">
        <v>29323.21</v>
      </c>
      <c r="D292" s="77">
        <v>29152.19</v>
      </c>
      <c r="E292" s="77">
        <v>29214.82</v>
      </c>
      <c r="F292" s="77">
        <v>29166.43</v>
      </c>
      <c r="G292" s="77">
        <v>29424.36</v>
      </c>
      <c r="H292" s="77">
        <v>29306.86</v>
      </c>
      <c r="I292" s="77">
        <v>29148.94</v>
      </c>
      <c r="J292" s="77">
        <v>29155.27</v>
      </c>
      <c r="K292" s="77">
        <v>29393.21</v>
      </c>
      <c r="L292" s="94">
        <f>IF((K293=""),"",MAX(C294:K294))</f>
        <v>10146.899999999998</v>
      </c>
      <c r="M292" s="94">
        <f>IF(K293="","",MIN(C294:K294))</f>
        <v>8952.2099999999991</v>
      </c>
      <c r="N292" s="94">
        <f>IF((K294=""),"",AVERAGE(C294:K294))</f>
        <v>9461.5566666666637</v>
      </c>
      <c r="O292" s="94">
        <f>IF((K293=""),"",STDEV(C294:K294))</f>
        <v>407.13488532673961</v>
      </c>
      <c r="P292" s="94">
        <f>IF((K293=""),"",O292/N292*100)</f>
        <v>4.3030433539661344</v>
      </c>
      <c r="Q292" s="95" t="str">
        <f>IF(K293="","",IF(P292&lt;15,IF(N292&gt;9000,IF(N292&lt;15600,"Pass","Fail"),"Fail"),"Fail"))</f>
        <v>Pass</v>
      </c>
      <c r="R292" s="96">
        <v>1159</v>
      </c>
      <c r="S292" s="77" t="s">
        <v>200</v>
      </c>
      <c r="T292" s="97">
        <v>9000</v>
      </c>
      <c r="U292" s="77">
        <v>8090</v>
      </c>
      <c r="V292" s="77">
        <v>12070</v>
      </c>
      <c r="W292" s="77">
        <v>6</v>
      </c>
    </row>
    <row r="293" spans="1:23">
      <c r="A293" s="107"/>
      <c r="B293" s="21" t="s">
        <v>135</v>
      </c>
      <c r="C293" s="77">
        <v>26339.14</v>
      </c>
      <c r="D293" s="77">
        <v>26018.49</v>
      </c>
      <c r="E293" s="77">
        <v>26084.11</v>
      </c>
      <c r="F293" s="77">
        <v>25938.02</v>
      </c>
      <c r="G293" s="77">
        <v>26209.06</v>
      </c>
      <c r="H293" s="77">
        <v>26309.97</v>
      </c>
      <c r="I293" s="77">
        <v>26117.59</v>
      </c>
      <c r="J293" s="77">
        <v>25873.33</v>
      </c>
      <c r="K293" s="77">
        <v>26010.91</v>
      </c>
      <c r="L293" s="99"/>
      <c r="M293" s="99"/>
      <c r="N293" s="99"/>
      <c r="O293" s="99"/>
      <c r="P293" s="99"/>
      <c r="Q293" s="100"/>
      <c r="R293" s="101"/>
      <c r="T293" s="97">
        <v>9000</v>
      </c>
      <c r="U293" s="77">
        <v>8090</v>
      </c>
      <c r="V293" s="77">
        <v>12070</v>
      </c>
    </row>
    <row r="294" spans="1:23" ht="15.75" thickBot="1">
      <c r="A294" s="108"/>
      <c r="B294" s="22" t="s">
        <v>136</v>
      </c>
      <c r="C294" s="23">
        <f t="shared" ref="C294:K294" si="94">IF(((C292="")*AND(C293="")),"",(C292-C293)*3)</f>
        <v>8952.2099999999991</v>
      </c>
      <c r="D294" s="23">
        <f t="shared" si="94"/>
        <v>9401.0999999999913</v>
      </c>
      <c r="E294" s="23">
        <f t="shared" si="94"/>
        <v>9392.1299999999974</v>
      </c>
      <c r="F294" s="23">
        <f t="shared" si="94"/>
        <v>9685.23</v>
      </c>
      <c r="G294" s="23">
        <f t="shared" si="94"/>
        <v>9645.8999999999978</v>
      </c>
      <c r="H294" s="23">
        <f t="shared" si="94"/>
        <v>8990.6699999999983</v>
      </c>
      <c r="I294" s="23">
        <f t="shared" si="94"/>
        <v>9094.0499999999956</v>
      </c>
      <c r="J294" s="23">
        <f t="shared" si="94"/>
        <v>9845.8199999999961</v>
      </c>
      <c r="K294" s="23">
        <f t="shared" si="94"/>
        <v>10146.899999999998</v>
      </c>
      <c r="L294" s="103"/>
      <c r="M294" s="103"/>
      <c r="N294" s="103"/>
      <c r="O294" s="103"/>
      <c r="P294" s="103"/>
      <c r="Q294" s="104"/>
      <c r="R294" s="105"/>
      <c r="T294" s="97">
        <v>9000</v>
      </c>
      <c r="U294" s="77">
        <v>8090</v>
      </c>
      <c r="V294" s="77">
        <v>12070</v>
      </c>
    </row>
    <row r="295" spans="1:23">
      <c r="A295" s="110">
        <v>43085</v>
      </c>
      <c r="B295" s="20" t="s">
        <v>133</v>
      </c>
      <c r="C295" s="77">
        <v>29325.98</v>
      </c>
      <c r="D295" s="77">
        <v>29133.78</v>
      </c>
      <c r="E295" s="77">
        <v>29141.88</v>
      </c>
      <c r="F295" s="77">
        <v>29143.09</v>
      </c>
      <c r="G295" s="77">
        <v>29366.18</v>
      </c>
      <c r="H295" s="77">
        <v>29278.87</v>
      </c>
      <c r="I295" s="77">
        <v>29119.93</v>
      </c>
      <c r="J295" s="77">
        <v>29126.959999999999</v>
      </c>
      <c r="K295" s="77">
        <v>29377.759999999998</v>
      </c>
      <c r="L295" s="94">
        <f>IF((K296=""),"",MAX(C297:K297))</f>
        <v>10506.299999999996</v>
      </c>
      <c r="M295" s="94">
        <f>IF(K296="","",MIN(C297:K297))</f>
        <v>9322.7099999999991</v>
      </c>
      <c r="N295" s="94">
        <f>IF((K297=""),"",AVERAGE(C297:K297))</f>
        <v>9907.5166666666664</v>
      </c>
      <c r="O295" s="94">
        <f>IF((K296=""),"",STDEV(C297:K297))</f>
        <v>400.6654164324587</v>
      </c>
      <c r="P295" s="94">
        <f>IF((K296=""),"",O295/N295*100)</f>
        <v>4.044054932357338</v>
      </c>
      <c r="Q295" s="95" t="str">
        <f>IF(K296="","",IF(P295&lt;15,IF(N295&gt;9000,IF(N295&lt;15600,"Pass","Fail"),"Fail"),"Fail"))</f>
        <v>Pass</v>
      </c>
      <c r="R295" s="96">
        <v>121</v>
      </c>
      <c r="T295" s="97">
        <v>9000</v>
      </c>
      <c r="U295" s="77">
        <v>8090</v>
      </c>
      <c r="V295" s="77">
        <v>12070</v>
      </c>
      <c r="W295" s="77">
        <v>6</v>
      </c>
    </row>
    <row r="296" spans="1:23">
      <c r="A296" s="107"/>
      <c r="B296" s="21" t="s">
        <v>135</v>
      </c>
      <c r="C296" s="77">
        <v>26190.62</v>
      </c>
      <c r="D296" s="77">
        <v>25838.81</v>
      </c>
      <c r="E296" s="77">
        <v>25836.54</v>
      </c>
      <c r="F296" s="77">
        <v>25755.71</v>
      </c>
      <c r="G296" s="77">
        <v>26000.959999999999</v>
      </c>
      <c r="H296" s="77">
        <v>26171.3</v>
      </c>
      <c r="I296" s="77">
        <v>25920.6</v>
      </c>
      <c r="J296" s="77">
        <v>25701.68</v>
      </c>
      <c r="K296" s="77">
        <v>25875.66</v>
      </c>
      <c r="L296" s="99"/>
      <c r="M296" s="99"/>
      <c r="N296" s="99"/>
      <c r="O296" s="99"/>
      <c r="P296" s="99"/>
      <c r="Q296" s="100"/>
      <c r="R296" s="101"/>
      <c r="T296" s="97">
        <v>9000</v>
      </c>
      <c r="U296" s="77">
        <v>8090</v>
      </c>
      <c r="V296" s="77">
        <v>12070</v>
      </c>
    </row>
    <row r="297" spans="1:23" ht="15.75" thickBot="1">
      <c r="A297" s="108"/>
      <c r="B297" s="22" t="s">
        <v>136</v>
      </c>
      <c r="C297" s="23">
        <f t="shared" ref="C297:K297" si="95">IF(((C295="")*AND(C296="")),"",(C295-C296)*3)</f>
        <v>9406.0800000000017</v>
      </c>
      <c r="D297" s="23">
        <f t="shared" si="95"/>
        <v>9884.9099999999926</v>
      </c>
      <c r="E297" s="23">
        <f t="shared" si="95"/>
        <v>9916.02</v>
      </c>
      <c r="F297" s="23">
        <f t="shared" si="95"/>
        <v>10162.140000000003</v>
      </c>
      <c r="G297" s="23">
        <f t="shared" si="95"/>
        <v>10095.660000000003</v>
      </c>
      <c r="H297" s="23">
        <f t="shared" si="95"/>
        <v>9322.7099999999991</v>
      </c>
      <c r="I297" s="23">
        <f t="shared" si="95"/>
        <v>9597.9900000000052</v>
      </c>
      <c r="J297" s="23">
        <f t="shared" si="95"/>
        <v>10275.839999999997</v>
      </c>
      <c r="K297" s="23">
        <f t="shared" si="95"/>
        <v>10506.299999999996</v>
      </c>
      <c r="L297" s="103"/>
      <c r="M297" s="103"/>
      <c r="N297" s="103"/>
      <c r="O297" s="103"/>
      <c r="P297" s="103"/>
      <c r="Q297" s="104"/>
      <c r="R297" s="105"/>
      <c r="T297" s="97">
        <v>9000</v>
      </c>
      <c r="U297" s="77">
        <v>8090</v>
      </c>
      <c r="V297" s="77">
        <v>12070</v>
      </c>
    </row>
    <row r="298" spans="1:23">
      <c r="A298" s="110">
        <v>43090</v>
      </c>
      <c r="B298" s="20" t="s">
        <v>133</v>
      </c>
      <c r="C298" s="77">
        <v>29238.75</v>
      </c>
      <c r="D298" s="77">
        <v>29107.59</v>
      </c>
      <c r="E298" s="77">
        <v>29151.279999999999</v>
      </c>
      <c r="F298" s="77">
        <v>29107.74</v>
      </c>
      <c r="G298" s="77">
        <v>29324.75</v>
      </c>
      <c r="H298" s="77">
        <v>29256.23</v>
      </c>
      <c r="I298" s="77">
        <v>29085.84</v>
      </c>
      <c r="J298" s="77">
        <v>29108.35</v>
      </c>
      <c r="K298" s="77">
        <v>29338.45</v>
      </c>
      <c r="L298" s="94">
        <f>IF((K299=""),"",MAX(C300:K300))</f>
        <v>9914.4900000000052</v>
      </c>
      <c r="M298" s="94">
        <f>IF(K299="","",MIN(C300:K300))</f>
        <v>8688.8999999999978</v>
      </c>
      <c r="N298" s="94">
        <f>IF((K300=""),"",AVERAGE(C300:K300))</f>
        <v>9207.0999999999985</v>
      </c>
      <c r="O298" s="94">
        <f>IF((K299=""),"",STDEV(C300:K300))</f>
        <v>416.09883173957923</v>
      </c>
      <c r="P298" s="94">
        <f>IF((K299=""),"",O298/N298*100)</f>
        <v>4.5193256480279276</v>
      </c>
      <c r="Q298" s="95" t="str">
        <f>IF(K299="","",IF(P298&lt;15,IF(N298&gt;9000,IF(N298&lt;15600,"Pass","Fail"),"Fail"),"Fail"))</f>
        <v>Pass</v>
      </c>
      <c r="R298" s="96">
        <v>1335</v>
      </c>
      <c r="T298" s="97">
        <v>9000</v>
      </c>
      <c r="U298" s="77">
        <v>8090</v>
      </c>
      <c r="V298" s="77">
        <v>12070</v>
      </c>
      <c r="W298" s="77">
        <v>6</v>
      </c>
    </row>
    <row r="299" spans="1:23">
      <c r="A299" s="107"/>
      <c r="B299" s="21" t="s">
        <v>135</v>
      </c>
      <c r="C299" s="77">
        <v>26327.81</v>
      </c>
      <c r="D299" s="77">
        <v>26030.959999999999</v>
      </c>
      <c r="E299" s="77">
        <v>26093.119999999999</v>
      </c>
      <c r="F299" s="77">
        <v>25969.119999999999</v>
      </c>
      <c r="G299" s="77">
        <v>26245.45</v>
      </c>
      <c r="H299" s="77">
        <v>26359.93</v>
      </c>
      <c r="I299" s="77">
        <v>26145.74</v>
      </c>
      <c r="J299" s="77">
        <v>25891.93</v>
      </c>
      <c r="K299" s="77">
        <v>26033.62</v>
      </c>
      <c r="L299" s="99"/>
      <c r="M299" s="99"/>
      <c r="N299" s="99"/>
      <c r="O299" s="99"/>
      <c r="P299" s="99"/>
      <c r="Q299" s="100"/>
      <c r="R299" s="101"/>
      <c r="T299" s="97">
        <v>9000</v>
      </c>
      <c r="U299" s="77">
        <v>8090</v>
      </c>
      <c r="V299" s="77">
        <v>12070</v>
      </c>
    </row>
    <row r="300" spans="1:23" ht="15.75" thickBot="1">
      <c r="A300" s="108"/>
      <c r="B300" s="22" t="s">
        <v>136</v>
      </c>
      <c r="C300" s="23">
        <f t="shared" ref="C300:K300" si="96">IF(((C298="")*AND(C299="")),"",(C298-C299)*3)</f>
        <v>8732.8199999999961</v>
      </c>
      <c r="D300" s="23">
        <f t="shared" si="96"/>
        <v>9229.8900000000031</v>
      </c>
      <c r="E300" s="23">
        <f t="shared" si="96"/>
        <v>9174.48</v>
      </c>
      <c r="F300" s="23">
        <f t="shared" si="96"/>
        <v>9415.8600000000079</v>
      </c>
      <c r="G300" s="23">
        <f t="shared" si="96"/>
        <v>9237.8999999999978</v>
      </c>
      <c r="H300" s="23">
        <f t="shared" si="96"/>
        <v>8688.8999999999978</v>
      </c>
      <c r="I300" s="23">
        <f t="shared" si="96"/>
        <v>8820.2999999999956</v>
      </c>
      <c r="J300" s="23">
        <f t="shared" si="96"/>
        <v>9649.2599999999948</v>
      </c>
      <c r="K300" s="23">
        <f t="shared" si="96"/>
        <v>9914.4900000000052</v>
      </c>
      <c r="L300" s="103"/>
      <c r="M300" s="103"/>
      <c r="N300" s="103"/>
      <c r="O300" s="103"/>
      <c r="P300" s="103"/>
      <c r="Q300" s="104"/>
      <c r="R300" s="105"/>
      <c r="T300" s="97">
        <v>9000</v>
      </c>
      <c r="U300" s="77">
        <v>8090</v>
      </c>
      <c r="V300" s="77">
        <v>12070</v>
      </c>
    </row>
    <row r="301" spans="1:23">
      <c r="A301" s="110">
        <v>43095</v>
      </c>
      <c r="B301" s="20" t="s">
        <v>133</v>
      </c>
      <c r="C301" s="77">
        <v>29230.720000000001</v>
      </c>
      <c r="D301" s="77">
        <v>29037.31</v>
      </c>
      <c r="E301" s="77">
        <v>29037.13</v>
      </c>
      <c r="F301" s="77">
        <v>29025.67</v>
      </c>
      <c r="G301" s="77">
        <v>29268.26</v>
      </c>
      <c r="H301" s="77">
        <v>29214.71</v>
      </c>
      <c r="I301" s="77">
        <v>29017.8</v>
      </c>
      <c r="J301" s="77">
        <v>29029.8</v>
      </c>
      <c r="K301" s="77">
        <v>29291.59</v>
      </c>
      <c r="L301" s="94">
        <f>IF((K302=""),"",MAX(C303:K303))</f>
        <v>10321.560000000001</v>
      </c>
      <c r="M301" s="94">
        <f>IF(K302="","",MIN(C303:K303))</f>
        <v>9269.5499999999956</v>
      </c>
      <c r="N301" s="94">
        <f>IF((K303=""),"",AVERAGE(C303:K303))</f>
        <v>9858.4800000000032</v>
      </c>
      <c r="O301" s="94">
        <f>IF((K302=""),"",STDEV(C303:K303))</f>
        <v>348.59115995672158</v>
      </c>
      <c r="P301" s="94">
        <f>IF((K302=""),"",O301/N301*100)</f>
        <v>3.5359523979023284</v>
      </c>
      <c r="Q301" s="95" t="str">
        <f>IF(K302="","",IF(P301&lt;15,IF(N301&gt;9000,IF(N301&lt;15600,"Pass","Fail"),"Fail"),"Fail"))</f>
        <v>Pass</v>
      </c>
      <c r="R301" s="96">
        <v>64</v>
      </c>
      <c r="T301" s="97">
        <v>9000</v>
      </c>
      <c r="U301" s="77">
        <v>8090</v>
      </c>
      <c r="V301" s="77">
        <v>12070</v>
      </c>
      <c r="W301" s="77">
        <v>6</v>
      </c>
    </row>
    <row r="302" spans="1:23">
      <c r="A302" s="107"/>
      <c r="B302" s="21" t="s">
        <v>135</v>
      </c>
      <c r="C302" s="77">
        <v>25903.43</v>
      </c>
      <c r="D302" s="77">
        <v>25659.51</v>
      </c>
      <c r="E302" s="77">
        <v>25744.42</v>
      </c>
      <c r="F302" s="77">
        <v>25739.59</v>
      </c>
      <c r="G302" s="77">
        <v>26178.41</v>
      </c>
      <c r="H302" s="77">
        <v>25774.19</v>
      </c>
      <c r="I302" s="77">
        <v>25621.1</v>
      </c>
      <c r="J302" s="77">
        <v>25818.39</v>
      </c>
      <c r="K302" s="77">
        <v>26138.51</v>
      </c>
      <c r="L302" s="99"/>
      <c r="M302" s="99"/>
      <c r="N302" s="99"/>
      <c r="O302" s="99"/>
      <c r="P302" s="99"/>
      <c r="Q302" s="100"/>
      <c r="R302" s="101"/>
      <c r="T302" s="97">
        <v>9000</v>
      </c>
      <c r="U302" s="77">
        <v>8090</v>
      </c>
      <c r="V302" s="77">
        <v>12070</v>
      </c>
    </row>
    <row r="303" spans="1:23" ht="15.75" thickBot="1">
      <c r="A303" s="108"/>
      <c r="B303" s="22" t="s">
        <v>136</v>
      </c>
      <c r="C303" s="23">
        <f t="shared" ref="C303:K303" si="97">IF(((C301="")*AND(C302="")),"",(C301-C302)*3)</f>
        <v>9981.8700000000026</v>
      </c>
      <c r="D303" s="23">
        <f t="shared" si="97"/>
        <v>10133.400000000009</v>
      </c>
      <c r="E303" s="23">
        <f t="shared" si="97"/>
        <v>9878.1300000000083</v>
      </c>
      <c r="F303" s="23">
        <f t="shared" si="97"/>
        <v>9858.2399999999943</v>
      </c>
      <c r="G303" s="23">
        <f t="shared" si="97"/>
        <v>9269.5499999999956</v>
      </c>
      <c r="H303" s="23">
        <f t="shared" si="97"/>
        <v>10321.560000000001</v>
      </c>
      <c r="I303" s="23">
        <f t="shared" si="97"/>
        <v>10190.100000000002</v>
      </c>
      <c r="J303" s="23">
        <f t="shared" si="97"/>
        <v>9634.23</v>
      </c>
      <c r="K303" s="23">
        <f t="shared" si="97"/>
        <v>9459.2400000000052</v>
      </c>
      <c r="L303" s="103"/>
      <c r="M303" s="103"/>
      <c r="N303" s="103"/>
      <c r="O303" s="103"/>
      <c r="P303" s="103"/>
      <c r="Q303" s="104"/>
      <c r="R303" s="105"/>
      <c r="T303" s="97">
        <v>9000</v>
      </c>
      <c r="U303" s="77">
        <v>8090</v>
      </c>
      <c r="V303" s="77">
        <v>12070</v>
      </c>
    </row>
    <row r="304" spans="1:23">
      <c r="A304" s="110">
        <v>43097</v>
      </c>
      <c r="B304" s="20" t="s">
        <v>133</v>
      </c>
      <c r="C304" s="77">
        <v>29234.639999999999</v>
      </c>
      <c r="D304" s="77">
        <v>29022.68</v>
      </c>
      <c r="E304" s="77">
        <v>29021.5</v>
      </c>
      <c r="F304" s="77">
        <v>29011.38</v>
      </c>
      <c r="G304" s="77">
        <v>29246.87</v>
      </c>
      <c r="H304" s="77">
        <v>29191.8</v>
      </c>
      <c r="I304" s="77">
        <v>29016.19</v>
      </c>
      <c r="J304" s="77">
        <v>29020.25</v>
      </c>
      <c r="K304" s="77">
        <v>29249.9</v>
      </c>
      <c r="L304" s="94">
        <f>IF((K305=""),"",MAX(C306:K306))</f>
        <v>8546.2200000000048</v>
      </c>
      <c r="M304" s="94">
        <f>IF(K305="","",MIN(C306:K306))</f>
        <v>7361.4599999999991</v>
      </c>
      <c r="N304" s="94">
        <f>IF((K306=""),"",AVERAGE(C306:K306))</f>
        <v>7819.8899999999976</v>
      </c>
      <c r="O304" s="94">
        <f>IF((K305=""),"",STDEV(C306:K306))</f>
        <v>389.29632672302461</v>
      </c>
      <c r="P304" s="94">
        <f>IF((K305=""),"",O304/N304*100)</f>
        <v>4.978283923725586</v>
      </c>
      <c r="Q304" s="95" t="str">
        <f>IF(K305="","",IF(P304&lt;15,IF(N304&gt;9000,IF(N304&lt;15600,"Pass","Fail"),"Fail"),"Fail"))</f>
        <v>Fail</v>
      </c>
      <c r="R304" s="96">
        <v>64</v>
      </c>
      <c r="T304" s="97">
        <v>9000</v>
      </c>
      <c r="U304" s="77">
        <v>8090</v>
      </c>
      <c r="V304" s="77">
        <v>12070</v>
      </c>
      <c r="W304" s="77">
        <v>6</v>
      </c>
    </row>
    <row r="305" spans="1:23">
      <c r="A305" s="107"/>
      <c r="B305" s="21" t="s">
        <v>135</v>
      </c>
      <c r="C305" s="77">
        <v>26704.560000000001</v>
      </c>
      <c r="D305" s="77">
        <v>26389.55</v>
      </c>
      <c r="E305" s="77">
        <v>26466.13</v>
      </c>
      <c r="F305" s="77">
        <v>26377.59</v>
      </c>
      <c r="G305" s="77">
        <v>26645.8</v>
      </c>
      <c r="H305" s="77">
        <v>26737.98</v>
      </c>
      <c r="I305" s="77">
        <v>26560.54</v>
      </c>
      <c r="J305" s="77">
        <v>26272.23</v>
      </c>
      <c r="K305" s="77">
        <v>26401.16</v>
      </c>
      <c r="L305" s="99"/>
      <c r="M305" s="99"/>
      <c r="N305" s="99"/>
      <c r="O305" s="99"/>
      <c r="P305" s="99"/>
      <c r="Q305" s="100"/>
      <c r="R305" s="101"/>
      <c r="T305" s="97">
        <v>9000</v>
      </c>
      <c r="U305" s="77">
        <v>8090</v>
      </c>
      <c r="V305" s="77">
        <v>12070</v>
      </c>
    </row>
    <row r="306" spans="1:23">
      <c r="A306" s="107"/>
      <c r="B306" s="24" t="s">
        <v>136</v>
      </c>
      <c r="C306" s="25">
        <f t="shared" ref="C306:K306" si="98">IF(((C304="")*AND(C305="")),"",(C304-C305)*3)</f>
        <v>7590.2399999999943</v>
      </c>
      <c r="D306" s="25">
        <f t="shared" si="98"/>
        <v>7899.3900000000031</v>
      </c>
      <c r="E306" s="25">
        <f t="shared" si="98"/>
        <v>7666.1099999999969</v>
      </c>
      <c r="F306" s="25">
        <f t="shared" si="98"/>
        <v>7901.3700000000026</v>
      </c>
      <c r="G306" s="25">
        <f t="shared" si="98"/>
        <v>7803.2099999999991</v>
      </c>
      <c r="H306" s="25">
        <f t="shared" si="98"/>
        <v>7361.4599999999991</v>
      </c>
      <c r="I306" s="25">
        <f t="shared" si="98"/>
        <v>7366.9499999999935</v>
      </c>
      <c r="J306" s="25">
        <f t="shared" si="98"/>
        <v>8244.0600000000013</v>
      </c>
      <c r="K306" s="25">
        <f t="shared" si="98"/>
        <v>8546.2200000000048</v>
      </c>
      <c r="L306" s="99"/>
      <c r="M306" s="99"/>
      <c r="N306" s="99"/>
      <c r="O306" s="99"/>
      <c r="P306" s="99"/>
      <c r="Q306" s="100"/>
      <c r="R306" s="101"/>
      <c r="T306" s="97">
        <v>9000</v>
      </c>
      <c r="U306" s="77">
        <v>8090</v>
      </c>
      <c r="V306" s="77">
        <v>12070</v>
      </c>
    </row>
    <row r="307" spans="1:23">
      <c r="A307" s="110">
        <v>43097</v>
      </c>
      <c r="B307" s="21" t="s">
        <v>133</v>
      </c>
      <c r="C307" s="112">
        <v>29223.62</v>
      </c>
      <c r="D307" s="112">
        <v>29035.84</v>
      </c>
      <c r="E307" s="112">
        <v>29112.69</v>
      </c>
      <c r="F307" s="112">
        <v>29052.87</v>
      </c>
      <c r="G307" s="112">
        <v>29283.4</v>
      </c>
      <c r="H307" s="112">
        <v>29203.06</v>
      </c>
      <c r="I307" s="112">
        <v>29044.45</v>
      </c>
      <c r="J307" s="112">
        <v>29041.69</v>
      </c>
      <c r="K307" s="112">
        <v>29256.31</v>
      </c>
      <c r="L307" s="24">
        <f>IF((K308=""),"",MAX(C309:K309))</f>
        <v>11517.600000000002</v>
      </c>
      <c r="M307" s="24">
        <f>IF(K308="","",MIN(C309:K309))</f>
        <v>10264.890000000003</v>
      </c>
      <c r="N307" s="24">
        <f>IF((K309=""),"",AVERAGE(C309:K309))</f>
        <v>10873.700000000003</v>
      </c>
      <c r="O307" s="24">
        <f>IF((K308=""),"",STDEV(C309:K309))</f>
        <v>374.6082197442604</v>
      </c>
      <c r="P307" s="24">
        <f>IF((K308=""),"",O307/N307*100)</f>
        <v>3.4450851112708674</v>
      </c>
      <c r="Q307" s="26" t="str">
        <f>IF(K308="","",IF(P307&lt;15,IF(N307&gt;9000,IF(N307&lt;15600,"Pass","Fail"),"Fail"),"Fail"))</f>
        <v>Pass</v>
      </c>
      <c r="R307" s="113">
        <v>64</v>
      </c>
      <c r="T307" s="97">
        <v>9000</v>
      </c>
      <c r="U307" s="77">
        <v>8090</v>
      </c>
      <c r="V307" s="77">
        <v>12070</v>
      </c>
      <c r="W307" s="77">
        <v>6</v>
      </c>
    </row>
    <row r="308" spans="1:23">
      <c r="A308" s="107"/>
      <c r="B308" s="21" t="s">
        <v>135</v>
      </c>
      <c r="C308" s="77">
        <v>25711.599999999999</v>
      </c>
      <c r="D308" s="77">
        <v>25407.67</v>
      </c>
      <c r="E308" s="77">
        <v>25472.2</v>
      </c>
      <c r="F308" s="77">
        <v>25378.23</v>
      </c>
      <c r="G308" s="77">
        <v>25649</v>
      </c>
      <c r="H308" s="77">
        <v>25781.43</v>
      </c>
      <c r="I308" s="77">
        <v>25513.39</v>
      </c>
      <c r="J308" s="77">
        <v>25302.2</v>
      </c>
      <c r="K308" s="77">
        <v>25417.11</v>
      </c>
      <c r="L308" s="99"/>
      <c r="M308" s="99"/>
      <c r="N308" s="99"/>
      <c r="O308" s="99"/>
      <c r="P308" s="99"/>
      <c r="Q308" s="100"/>
      <c r="R308" s="101"/>
      <c r="T308" s="97">
        <v>9000</v>
      </c>
      <c r="U308" s="77">
        <v>8090</v>
      </c>
      <c r="V308" s="77">
        <v>12070</v>
      </c>
    </row>
    <row r="309" spans="1:23" ht="15.75" thickBot="1">
      <c r="A309" s="108"/>
      <c r="B309" s="22" t="s">
        <v>136</v>
      </c>
      <c r="C309" s="23">
        <f t="shared" ref="C309:K309" si="99">IF(((C307="")*AND(C308="")),"",(C307-C308)*3)</f>
        <v>10536.060000000001</v>
      </c>
      <c r="D309" s="23">
        <f t="shared" si="99"/>
        <v>10884.510000000006</v>
      </c>
      <c r="E309" s="23">
        <f t="shared" si="99"/>
        <v>10921.469999999994</v>
      </c>
      <c r="F309" s="23">
        <f t="shared" si="99"/>
        <v>11023.919999999998</v>
      </c>
      <c r="G309" s="23">
        <f t="shared" si="99"/>
        <v>10903.200000000004</v>
      </c>
      <c r="H309" s="23">
        <f t="shared" si="99"/>
        <v>10264.890000000003</v>
      </c>
      <c r="I309" s="23">
        <f t="shared" si="99"/>
        <v>10593.180000000004</v>
      </c>
      <c r="J309" s="23">
        <f t="shared" si="99"/>
        <v>11218.469999999994</v>
      </c>
      <c r="K309" s="23">
        <f t="shared" si="99"/>
        <v>11517.600000000002</v>
      </c>
      <c r="L309" s="103"/>
      <c r="M309" s="103"/>
      <c r="N309" s="103"/>
      <c r="O309" s="103"/>
      <c r="P309" s="103"/>
      <c r="Q309" s="104"/>
      <c r="R309" s="105"/>
      <c r="T309" s="97">
        <v>9000</v>
      </c>
      <c r="U309" s="77">
        <v>8090</v>
      </c>
      <c r="V309" s="77">
        <v>12070</v>
      </c>
    </row>
    <row r="310" spans="1:23">
      <c r="A310" s="110">
        <v>43099</v>
      </c>
      <c r="B310" s="20" t="s">
        <v>133</v>
      </c>
      <c r="C310" s="77">
        <v>29226.77</v>
      </c>
      <c r="D310" s="77">
        <v>29921.89</v>
      </c>
      <c r="E310" s="77">
        <v>29469.77</v>
      </c>
      <c r="F310" s="77">
        <v>29020.98</v>
      </c>
      <c r="G310" s="77">
        <v>29220.23</v>
      </c>
      <c r="H310" s="77">
        <v>31223.08</v>
      </c>
      <c r="I310" s="77">
        <v>30596.77</v>
      </c>
      <c r="J310" s="77">
        <v>29031.71</v>
      </c>
      <c r="K310" s="77">
        <v>29261.16</v>
      </c>
      <c r="L310" s="94">
        <f>IF((K311=""),"",MAX(C312:K312))</f>
        <v>10136.910000000003</v>
      </c>
      <c r="M310" s="94">
        <f>IF(K311="","",MIN(C312:K312))</f>
        <v>9265.0800000000017</v>
      </c>
      <c r="N310" s="94">
        <f>IF((K312=""),"",AVERAGE(C312:K312))</f>
        <v>9733.2300000000032</v>
      </c>
      <c r="O310" s="94">
        <f>IF((K311=""),"",STDEV(C312:K312))</f>
        <v>274.93526719942275</v>
      </c>
      <c r="P310" s="94">
        <f>IF((K311=""),"",O310/N310*100)</f>
        <v>2.8247073910656861</v>
      </c>
      <c r="Q310" s="95" t="str">
        <f>IF(K311="","",IF(P310&lt;15,IF(N310&gt;9000,IF(N310&lt;15600,"Pass","Fail"),"Fail"),"Fail"))</f>
        <v>Pass</v>
      </c>
      <c r="R310" s="96">
        <v>121</v>
      </c>
      <c r="S310" s="77" t="s">
        <v>201</v>
      </c>
      <c r="T310" s="97">
        <v>9000</v>
      </c>
      <c r="U310" s="77">
        <v>8090</v>
      </c>
      <c r="V310" s="77">
        <v>12070</v>
      </c>
      <c r="W310" s="77">
        <v>6</v>
      </c>
    </row>
    <row r="311" spans="1:23">
      <c r="A311" s="107"/>
      <c r="B311" s="21" t="s">
        <v>135</v>
      </c>
      <c r="C311" s="77">
        <v>26022.04</v>
      </c>
      <c r="D311" s="77">
        <v>26600.1</v>
      </c>
      <c r="E311" s="77">
        <v>26241.46</v>
      </c>
      <c r="F311" s="77">
        <v>25752.5</v>
      </c>
      <c r="G311" s="77">
        <v>25946.37</v>
      </c>
      <c r="H311" s="77">
        <v>28134.720000000001</v>
      </c>
      <c r="I311" s="77">
        <v>27462.92</v>
      </c>
      <c r="J311" s="77">
        <v>25730.37</v>
      </c>
      <c r="K311" s="77">
        <v>25882.19</v>
      </c>
      <c r="L311" s="99"/>
      <c r="M311" s="99"/>
      <c r="N311" s="99"/>
      <c r="O311" s="99"/>
      <c r="P311" s="99"/>
      <c r="Q311" s="100"/>
      <c r="R311" s="101"/>
      <c r="T311" s="97">
        <v>9000</v>
      </c>
      <c r="U311" s="77">
        <v>8090</v>
      </c>
      <c r="V311" s="77">
        <v>12070</v>
      </c>
    </row>
    <row r="312" spans="1:23" ht="15.75" thickBot="1">
      <c r="A312" s="108"/>
      <c r="B312" s="22" t="s">
        <v>136</v>
      </c>
      <c r="C312" s="23">
        <f t="shared" ref="C312:K312" si="100">IF(((C310="")*AND(C311="")),"",(C310-C311)*3)</f>
        <v>9614.1899999999987</v>
      </c>
      <c r="D312" s="23">
        <f t="shared" si="100"/>
        <v>9965.3700000000026</v>
      </c>
      <c r="E312" s="23">
        <f t="shared" si="100"/>
        <v>9684.9300000000039</v>
      </c>
      <c r="F312" s="23">
        <f t="shared" si="100"/>
        <v>9805.4399999999987</v>
      </c>
      <c r="G312" s="23">
        <f t="shared" si="100"/>
        <v>9821.5800000000017</v>
      </c>
      <c r="H312" s="23">
        <f t="shared" si="100"/>
        <v>9265.0800000000017</v>
      </c>
      <c r="I312" s="23">
        <f t="shared" si="100"/>
        <v>9401.5500000000065</v>
      </c>
      <c r="J312" s="23">
        <f t="shared" si="100"/>
        <v>9904.02</v>
      </c>
      <c r="K312" s="23">
        <f t="shared" si="100"/>
        <v>10136.910000000003</v>
      </c>
      <c r="L312" s="103"/>
      <c r="M312" s="103"/>
      <c r="N312" s="103"/>
      <c r="O312" s="103"/>
      <c r="P312" s="103"/>
      <c r="Q312" s="104"/>
      <c r="R312" s="105"/>
      <c r="T312" s="97">
        <v>9000</v>
      </c>
      <c r="U312" s="77">
        <v>8090</v>
      </c>
      <c r="V312" s="77">
        <v>12070</v>
      </c>
    </row>
    <row r="313" spans="1:23">
      <c r="A313" s="110">
        <v>43106</v>
      </c>
      <c r="B313" s="20" t="s">
        <v>133</v>
      </c>
      <c r="C313" s="77">
        <v>29155.33</v>
      </c>
      <c r="D313" s="77">
        <v>28967.47</v>
      </c>
      <c r="E313" s="77">
        <v>28965.38</v>
      </c>
      <c r="F313" s="77">
        <v>28976.11</v>
      </c>
      <c r="G313" s="77">
        <v>29208.14</v>
      </c>
      <c r="H313" s="77">
        <v>29169.02</v>
      </c>
      <c r="I313" s="77">
        <v>28971.21</v>
      </c>
      <c r="J313" s="77">
        <v>28967.439999999999</v>
      </c>
      <c r="K313" s="77">
        <v>29220.74</v>
      </c>
      <c r="L313" s="94">
        <f>IF((K314=""),"",MAX(C315:K315))</f>
        <v>9146.73</v>
      </c>
      <c r="M313" s="94">
        <f>IF(K314="","",MIN(C315:K315))</f>
        <v>8204.9100000000035</v>
      </c>
      <c r="N313" s="94">
        <f>IF((K315=""),"",AVERAGE(C315:K315))</f>
        <v>8597.4066666666677</v>
      </c>
      <c r="O313" s="94">
        <f>IF((K314=""),"",STDEV(C315:K315))</f>
        <v>312.63583663744015</v>
      </c>
      <c r="P313" s="94">
        <f>IF((K314=""),"",O313/N313*100)</f>
        <v>3.636396982936406</v>
      </c>
      <c r="Q313" s="95" t="str">
        <f>IF(K314="","",IF(P313&lt;15,IF(N313&gt;9000,IF(N313&lt;15600,"Pass","Fail"),"Fail"),"Fail"))</f>
        <v>Fail</v>
      </c>
      <c r="R313" s="96">
        <v>102</v>
      </c>
      <c r="T313" s="97">
        <v>9000</v>
      </c>
      <c r="U313" s="77">
        <v>8090</v>
      </c>
      <c r="V313" s="77">
        <v>12070</v>
      </c>
      <c r="W313" s="77">
        <v>6</v>
      </c>
    </row>
    <row r="314" spans="1:23">
      <c r="A314" s="107"/>
      <c r="B314" s="21" t="s">
        <v>135</v>
      </c>
      <c r="C314" s="77">
        <v>26387.919999999998</v>
      </c>
      <c r="D314" s="77">
        <v>26097.19</v>
      </c>
      <c r="E314" s="77">
        <v>26108.720000000001</v>
      </c>
      <c r="F314" s="77">
        <v>26066.080000000002</v>
      </c>
      <c r="G314" s="77">
        <v>26321.58</v>
      </c>
      <c r="H314" s="77">
        <v>26434.05</v>
      </c>
      <c r="I314" s="77">
        <v>26221.97</v>
      </c>
      <c r="J314" s="77">
        <v>25999.279999999999</v>
      </c>
      <c r="K314" s="77">
        <v>26171.83</v>
      </c>
      <c r="L314" s="99"/>
      <c r="M314" s="99"/>
      <c r="N314" s="99"/>
      <c r="O314" s="99"/>
      <c r="P314" s="99"/>
      <c r="Q314" s="100"/>
      <c r="R314" s="101"/>
      <c r="T314" s="97">
        <v>9000</v>
      </c>
      <c r="U314" s="77">
        <v>8090</v>
      </c>
      <c r="V314" s="77">
        <v>12070</v>
      </c>
    </row>
    <row r="315" spans="1:23">
      <c r="A315" s="107"/>
      <c r="B315" s="24" t="s">
        <v>136</v>
      </c>
      <c r="C315" s="25">
        <f t="shared" ref="C315:K315" si="101">IF(((C313="")*AND(C314="")),"",(C313-C314)*3)</f>
        <v>8302.2300000000105</v>
      </c>
      <c r="D315" s="25">
        <f t="shared" si="101"/>
        <v>8610.8400000000074</v>
      </c>
      <c r="E315" s="25">
        <f t="shared" si="101"/>
        <v>8569.98</v>
      </c>
      <c r="F315" s="25">
        <f t="shared" si="101"/>
        <v>8730.0899999999965</v>
      </c>
      <c r="G315" s="25">
        <f t="shared" si="101"/>
        <v>8659.679999999993</v>
      </c>
      <c r="H315" s="25">
        <f t="shared" si="101"/>
        <v>8204.9100000000035</v>
      </c>
      <c r="I315" s="25">
        <f t="shared" si="101"/>
        <v>8247.7199999999939</v>
      </c>
      <c r="J315" s="25">
        <f t="shared" si="101"/>
        <v>8904.48</v>
      </c>
      <c r="K315" s="25">
        <f t="shared" si="101"/>
        <v>9146.73</v>
      </c>
      <c r="L315" s="99"/>
      <c r="M315" s="99"/>
      <c r="N315" s="99"/>
      <c r="O315" s="99"/>
      <c r="P315" s="99"/>
      <c r="Q315" s="100"/>
      <c r="R315" s="101"/>
      <c r="T315" s="97">
        <v>9000</v>
      </c>
      <c r="U315" s="77">
        <v>8090</v>
      </c>
      <c r="V315" s="77">
        <v>12070</v>
      </c>
    </row>
    <row r="316" spans="1:23">
      <c r="A316" s="110">
        <v>43106</v>
      </c>
      <c r="B316" s="21" t="s">
        <v>133</v>
      </c>
      <c r="C316" s="112">
        <v>29167.599999999999</v>
      </c>
      <c r="D316" s="112">
        <v>28976.720000000001</v>
      </c>
      <c r="E316" s="112">
        <v>29016.93</v>
      </c>
      <c r="F316" s="112">
        <v>28948.41</v>
      </c>
      <c r="G316" s="112">
        <v>29145.96</v>
      </c>
      <c r="H316" s="112">
        <v>29111.77</v>
      </c>
      <c r="I316" s="112">
        <v>28952.2</v>
      </c>
      <c r="J316" s="112">
        <v>28960.26</v>
      </c>
      <c r="K316" s="112">
        <v>29206.67</v>
      </c>
      <c r="L316" s="24">
        <f>IF((K317=""),"",MAX(C318:K318))</f>
        <v>8248.28999999999</v>
      </c>
      <c r="M316" s="24">
        <f>IF(K317="","",MIN(C318:K318))</f>
        <v>7107.1800000000039</v>
      </c>
      <c r="N316" s="24">
        <f>IF((K318=""),"",AVERAGE(C318:K318))</f>
        <v>7730.4633333333331</v>
      </c>
      <c r="O316" s="24">
        <f>IF((K317=""),"",STDEV(C318:K318))</f>
        <v>375.07733006004776</v>
      </c>
      <c r="P316" s="24">
        <f>IF((K317=""),"",O316/N316*100)</f>
        <v>4.8519385434859368</v>
      </c>
      <c r="Q316" s="26" t="str">
        <f>IF(K317="","",IF(P316&lt;15,IF(N316&gt;9000,IF(N316&lt;15600,"Pass","Fail"),"Fail"),"Fail"))</f>
        <v>Fail</v>
      </c>
      <c r="R316" s="113">
        <v>102</v>
      </c>
      <c r="S316" s="92" t="s">
        <v>283</v>
      </c>
      <c r="T316" s="97">
        <v>9000</v>
      </c>
      <c r="U316" s="77">
        <v>8090</v>
      </c>
      <c r="V316" s="77">
        <v>12070</v>
      </c>
      <c r="W316" s="77">
        <v>6</v>
      </c>
    </row>
    <row r="317" spans="1:23">
      <c r="A317" s="107"/>
      <c r="B317" s="21" t="s">
        <v>135</v>
      </c>
      <c r="C317" s="77">
        <v>26643.18</v>
      </c>
      <c r="D317" s="77">
        <v>26357.98</v>
      </c>
      <c r="E317" s="77">
        <v>26472.27</v>
      </c>
      <c r="F317" s="77">
        <v>26318.52</v>
      </c>
      <c r="G317" s="77">
        <v>26509.41</v>
      </c>
      <c r="H317" s="77">
        <v>26742.71</v>
      </c>
      <c r="I317" s="77">
        <v>26533.52</v>
      </c>
      <c r="J317" s="77">
        <v>26260.3</v>
      </c>
      <c r="K317" s="77">
        <v>26457.24</v>
      </c>
      <c r="L317" s="99"/>
      <c r="M317" s="99"/>
      <c r="N317" s="99"/>
      <c r="O317" s="99"/>
      <c r="P317" s="99"/>
      <c r="Q317" s="100"/>
      <c r="R317" s="101"/>
      <c r="T317" s="97">
        <v>9000</v>
      </c>
      <c r="U317" s="77">
        <v>8090</v>
      </c>
      <c r="V317" s="77">
        <v>12070</v>
      </c>
    </row>
    <row r="318" spans="1:23">
      <c r="A318" s="107"/>
      <c r="B318" s="24" t="s">
        <v>136</v>
      </c>
      <c r="C318" s="25">
        <f t="shared" ref="C318:K318" si="102">IF(((C316="")*AND(C317="")),"",(C316-C317)*3)</f>
        <v>7573.2599999999948</v>
      </c>
      <c r="D318" s="25">
        <f t="shared" si="102"/>
        <v>7856.2200000000048</v>
      </c>
      <c r="E318" s="25">
        <f t="shared" si="102"/>
        <v>7633.98</v>
      </c>
      <c r="F318" s="25">
        <f t="shared" si="102"/>
        <v>7889.6699999999983</v>
      </c>
      <c r="G318" s="25">
        <f t="shared" si="102"/>
        <v>7909.6499999999978</v>
      </c>
      <c r="H318" s="25">
        <f t="shared" si="102"/>
        <v>7107.1800000000039</v>
      </c>
      <c r="I318" s="25">
        <f t="shared" si="102"/>
        <v>7256.0400000000009</v>
      </c>
      <c r="J318" s="25">
        <f t="shared" si="102"/>
        <v>8099.8799999999974</v>
      </c>
      <c r="K318" s="25">
        <f t="shared" si="102"/>
        <v>8248.28999999999</v>
      </c>
      <c r="L318" s="99"/>
      <c r="M318" s="99"/>
      <c r="N318" s="99"/>
      <c r="O318" s="99"/>
      <c r="P318" s="99"/>
      <c r="Q318" s="100"/>
      <c r="R318" s="101"/>
      <c r="T318" s="97">
        <v>9000</v>
      </c>
      <c r="U318" s="77">
        <v>8090</v>
      </c>
      <c r="V318" s="77">
        <v>12070</v>
      </c>
    </row>
    <row r="319" spans="1:23">
      <c r="A319" s="110">
        <v>43106</v>
      </c>
      <c r="B319" s="21" t="s">
        <v>133</v>
      </c>
      <c r="C319" s="77">
        <v>29144.68</v>
      </c>
      <c r="D319" s="77">
        <v>28974.9</v>
      </c>
      <c r="E319" s="77">
        <v>28963.63</v>
      </c>
      <c r="F319" s="77">
        <v>29079.39</v>
      </c>
      <c r="G319" s="77">
        <v>29212.92</v>
      </c>
      <c r="H319" s="77">
        <v>29159.09</v>
      </c>
      <c r="I319" s="77">
        <v>28960.93</v>
      </c>
      <c r="J319" s="77">
        <v>30241.07</v>
      </c>
      <c r="K319" s="77">
        <v>29206</v>
      </c>
      <c r="L319" s="24">
        <f>IF((K320=""),"",MAX(C321:K321))</f>
        <v>8374.2599999999948</v>
      </c>
      <c r="M319" s="24">
        <f>IF(K320="","",MIN(C321:K321))</f>
        <v>7203.75</v>
      </c>
      <c r="N319" s="24">
        <f>IF((K321=""),"",AVERAGE(C321:K321))</f>
        <v>7714.2366666666658</v>
      </c>
      <c r="O319" s="24">
        <f>IF((K320=""),"",STDEV(C321:K321))</f>
        <v>371.65966118209207</v>
      </c>
      <c r="P319" s="24">
        <f>IF((K320=""),"",O319/N319*100)</f>
        <v>4.8178410546832087</v>
      </c>
      <c r="Q319" s="26" t="str">
        <f>IF(K320="","",IF(P319&lt;15,IF(N319&gt;9000,IF(N319&lt;15600,"Pass","Fail"),"Fail"),"Fail"))</f>
        <v>Fail</v>
      </c>
      <c r="R319" s="113">
        <v>102</v>
      </c>
      <c r="S319" s="92" t="s">
        <v>284</v>
      </c>
      <c r="T319" s="97">
        <v>9000</v>
      </c>
      <c r="U319" s="77">
        <v>8090</v>
      </c>
      <c r="V319" s="77">
        <v>12070</v>
      </c>
      <c r="W319" s="77">
        <v>6</v>
      </c>
    </row>
    <row r="320" spans="1:23">
      <c r="A320" s="107"/>
      <c r="B320" s="21" t="s">
        <v>135</v>
      </c>
      <c r="C320" s="77">
        <v>26602.15</v>
      </c>
      <c r="D320" s="77">
        <v>26365.87</v>
      </c>
      <c r="E320" s="77">
        <v>26455.99</v>
      </c>
      <c r="F320" s="77">
        <v>26501.24</v>
      </c>
      <c r="G320" s="77">
        <v>26650.62</v>
      </c>
      <c r="H320" s="77">
        <v>26723.45</v>
      </c>
      <c r="I320" s="77">
        <v>26559.68</v>
      </c>
      <c r="J320" s="77">
        <v>27526.32</v>
      </c>
      <c r="K320" s="77">
        <v>26414.58</v>
      </c>
      <c r="L320" s="99"/>
      <c r="M320" s="99"/>
      <c r="N320" s="99"/>
      <c r="O320" s="99"/>
      <c r="P320" s="99"/>
      <c r="Q320" s="100"/>
      <c r="R320" s="101"/>
      <c r="T320" s="97">
        <v>9000</v>
      </c>
      <c r="U320" s="77">
        <v>8090</v>
      </c>
      <c r="V320" s="77">
        <v>12070</v>
      </c>
    </row>
    <row r="321" spans="1:23">
      <c r="A321" s="114"/>
      <c r="B321" s="21" t="s">
        <v>136</v>
      </c>
      <c r="C321" s="27">
        <f t="shared" ref="C321:K321" si="103">IF(((C319="")*AND(C320="")),"",(C319-C320)*3)</f>
        <v>7627.5899999999965</v>
      </c>
      <c r="D321" s="27">
        <f t="shared" si="103"/>
        <v>7827.0900000000074</v>
      </c>
      <c r="E321" s="27">
        <f t="shared" si="103"/>
        <v>7522.9199999999983</v>
      </c>
      <c r="F321" s="27">
        <f t="shared" si="103"/>
        <v>7734.4499999999935</v>
      </c>
      <c r="G321" s="27">
        <f t="shared" si="103"/>
        <v>7686.8999999999978</v>
      </c>
      <c r="H321" s="27">
        <f t="shared" si="103"/>
        <v>7306.9199999999983</v>
      </c>
      <c r="I321" s="27">
        <f t="shared" si="103"/>
        <v>7203.75</v>
      </c>
      <c r="J321" s="27">
        <f t="shared" si="103"/>
        <v>8144.25</v>
      </c>
      <c r="K321" s="27">
        <f t="shared" si="103"/>
        <v>8374.2599999999948</v>
      </c>
      <c r="L321" s="28"/>
      <c r="M321" s="28"/>
      <c r="N321" s="28"/>
      <c r="O321" s="28"/>
      <c r="P321" s="28"/>
      <c r="Q321" s="29"/>
      <c r="R321" s="115"/>
      <c r="T321" s="97">
        <v>9000</v>
      </c>
      <c r="U321" s="77">
        <v>8090</v>
      </c>
      <c r="V321" s="77">
        <v>12070</v>
      </c>
    </row>
    <row r="322" spans="1:23">
      <c r="A322" s="116">
        <v>43106</v>
      </c>
      <c r="B322" s="28" t="s">
        <v>133</v>
      </c>
      <c r="C322" s="77">
        <v>29427.09</v>
      </c>
      <c r="D322" s="77">
        <v>29214.03</v>
      </c>
      <c r="E322" s="77">
        <v>29273.68</v>
      </c>
      <c r="F322" s="77">
        <v>29204.45</v>
      </c>
      <c r="G322" s="77">
        <v>29411.87</v>
      </c>
      <c r="H322" s="77">
        <v>29339.69</v>
      </c>
      <c r="I322" s="77">
        <v>29184.26</v>
      </c>
      <c r="J322" s="77">
        <v>29212.37</v>
      </c>
      <c r="K322" s="77">
        <v>29456.71</v>
      </c>
      <c r="L322" s="99">
        <f>IF((K323=""),"",MAX(C324:K324))</f>
        <v>9005.6099999999969</v>
      </c>
      <c r="M322" s="99">
        <f>IF(K323="","",MIN(C324:K324))</f>
        <v>7978.1099999999969</v>
      </c>
      <c r="N322" s="99">
        <f>IF((K324=""),"",AVERAGE(C324:K324))</f>
        <v>8462.4233333333323</v>
      </c>
      <c r="O322" s="99">
        <f>IF((K323=""),"",STDEV(C324:K324))</f>
        <v>335.8047603891273</v>
      </c>
      <c r="P322" s="99">
        <f>IF((K323=""),"",O322/N322*100)</f>
        <v>3.968186737555405</v>
      </c>
      <c r="Q322" s="100" t="str">
        <f>IF(K323="","",IF(P322&lt;15,IF(N322&gt;9000,IF(N322&lt;15600,"Pass","Fail"),"Fail"),"Fail"))</f>
        <v>Fail</v>
      </c>
      <c r="R322" s="117">
        <v>102</v>
      </c>
      <c r="S322" s="92" t="s">
        <v>285</v>
      </c>
      <c r="T322" s="97">
        <v>9000</v>
      </c>
      <c r="U322" s="77">
        <v>8090</v>
      </c>
      <c r="V322" s="77">
        <v>12070</v>
      </c>
      <c r="W322" s="77">
        <v>6</v>
      </c>
    </row>
    <row r="323" spans="1:23">
      <c r="A323" s="107"/>
      <c r="B323" s="21" t="s">
        <v>135</v>
      </c>
      <c r="C323" s="77">
        <v>26631.91</v>
      </c>
      <c r="D323" s="77">
        <v>26357.59</v>
      </c>
      <c r="E323" s="77">
        <v>26503.360000000001</v>
      </c>
      <c r="F323" s="77">
        <v>26351.08</v>
      </c>
      <c r="G323" s="77">
        <v>26568.11</v>
      </c>
      <c r="H323" s="77">
        <v>26667.98</v>
      </c>
      <c r="I323" s="77">
        <v>26524.89</v>
      </c>
      <c r="J323" s="77">
        <v>26277.119999999999</v>
      </c>
      <c r="K323" s="77">
        <v>26454.84</v>
      </c>
      <c r="L323" s="99"/>
      <c r="M323" s="99"/>
      <c r="N323" s="99"/>
      <c r="O323" s="99"/>
      <c r="P323" s="99"/>
      <c r="Q323" s="100"/>
      <c r="R323" s="101"/>
      <c r="T323" s="97">
        <v>9000</v>
      </c>
      <c r="U323" s="77">
        <v>8090</v>
      </c>
      <c r="V323" s="77">
        <v>12070</v>
      </c>
    </row>
    <row r="324" spans="1:23">
      <c r="A324" s="107"/>
      <c r="B324" s="24" t="s">
        <v>136</v>
      </c>
      <c r="C324" s="25">
        <f t="shared" ref="C324:K324" si="104">IF(((C322="")*AND(C323="")),"",(C322-C323)*3)</f>
        <v>8385.5400000000009</v>
      </c>
      <c r="D324" s="25">
        <f t="shared" si="104"/>
        <v>8569.3199999999961</v>
      </c>
      <c r="E324" s="25">
        <f t="shared" si="104"/>
        <v>8310.9599999999991</v>
      </c>
      <c r="F324" s="25">
        <f t="shared" si="104"/>
        <v>8560.1099999999969</v>
      </c>
      <c r="G324" s="25">
        <f t="shared" si="104"/>
        <v>8531.2799999999952</v>
      </c>
      <c r="H324" s="25">
        <f t="shared" si="104"/>
        <v>8015.1299999999974</v>
      </c>
      <c r="I324" s="25">
        <f t="shared" si="104"/>
        <v>7978.1099999999969</v>
      </c>
      <c r="J324" s="25">
        <f t="shared" si="104"/>
        <v>8805.75</v>
      </c>
      <c r="K324" s="25">
        <f t="shared" si="104"/>
        <v>9005.6099999999969</v>
      </c>
      <c r="L324" s="99"/>
      <c r="M324" s="99"/>
      <c r="N324" s="99"/>
      <c r="O324" s="99"/>
      <c r="P324" s="99"/>
      <c r="Q324" s="100"/>
      <c r="R324" s="101"/>
      <c r="T324" s="97">
        <v>9000</v>
      </c>
      <c r="U324" s="77">
        <v>8090</v>
      </c>
      <c r="V324" s="77">
        <v>12070</v>
      </c>
    </row>
    <row r="325" spans="1:23">
      <c r="A325" s="110">
        <v>43106</v>
      </c>
      <c r="B325" s="21" t="s">
        <v>133</v>
      </c>
      <c r="C325" s="77">
        <v>29395.75</v>
      </c>
      <c r="D325" s="77">
        <v>29210.44</v>
      </c>
      <c r="E325" s="77">
        <v>29224.67</v>
      </c>
      <c r="F325" s="77">
        <v>29191.34</v>
      </c>
      <c r="G325" s="77">
        <v>29402.9</v>
      </c>
      <c r="H325" s="77">
        <v>29392.81</v>
      </c>
      <c r="I325" s="77">
        <v>29195.040000000001</v>
      </c>
      <c r="J325" s="77">
        <v>29193.439999999999</v>
      </c>
      <c r="K325" s="77">
        <v>29419.72</v>
      </c>
      <c r="L325" s="24">
        <f>IF((K326=""),"",MAX(C327:K327))</f>
        <v>11177.220000000005</v>
      </c>
      <c r="M325" s="24">
        <f>IF(K326="","",MIN(C327:K327))</f>
        <v>10159.560000000001</v>
      </c>
      <c r="N325" s="24">
        <f>IF((K327=""),"",AVERAGE(C327:K327))</f>
        <v>10671.970000000001</v>
      </c>
      <c r="O325" s="24">
        <f>IF((K326=""),"",STDEV(C327:K327))</f>
        <v>324.60717413515391</v>
      </c>
      <c r="P325" s="24">
        <f>IF((K326=""),"",O325/N325*100)</f>
        <v>3.0416799722558614</v>
      </c>
      <c r="Q325" s="26" t="str">
        <f>IF(K326="","",IF(P325&lt;15,IF(N325&gt;9000,IF(N325&lt;15600,"Pass","Fail"),"Fail"),"Fail"))</f>
        <v>Pass</v>
      </c>
      <c r="R325" s="113">
        <v>102</v>
      </c>
      <c r="S325" s="92" t="s">
        <v>285</v>
      </c>
      <c r="T325" s="97">
        <v>9000</v>
      </c>
      <c r="U325" s="77">
        <v>8090</v>
      </c>
      <c r="V325" s="77">
        <v>12070</v>
      </c>
      <c r="W325" s="77">
        <v>6</v>
      </c>
    </row>
    <row r="326" spans="1:23">
      <c r="A326" s="107"/>
      <c r="B326" s="21" t="s">
        <v>135</v>
      </c>
      <c r="C326" s="77">
        <v>25792.69</v>
      </c>
      <c r="D326" s="77">
        <v>25585.02</v>
      </c>
      <c r="E326" s="77">
        <v>25674.25</v>
      </c>
      <c r="F326" s="77">
        <v>25623.42</v>
      </c>
      <c r="G326" s="77">
        <v>25956.71</v>
      </c>
      <c r="H326" s="77">
        <v>25667.07</v>
      </c>
      <c r="I326" s="77">
        <v>25547.86</v>
      </c>
      <c r="J326" s="77">
        <v>25729.98</v>
      </c>
      <c r="K326" s="77">
        <v>26033.200000000001</v>
      </c>
      <c r="L326" s="99"/>
      <c r="M326" s="99"/>
      <c r="N326" s="99"/>
      <c r="O326" s="99"/>
      <c r="P326" s="99"/>
      <c r="Q326" s="100"/>
      <c r="R326" s="101"/>
      <c r="S326" s="92" t="s">
        <v>202</v>
      </c>
      <c r="T326" s="97">
        <v>9000</v>
      </c>
      <c r="U326" s="77">
        <v>8090</v>
      </c>
      <c r="V326" s="77">
        <v>12070</v>
      </c>
    </row>
    <row r="327" spans="1:23" ht="15.75" thickBot="1">
      <c r="A327" s="108"/>
      <c r="B327" s="22" t="s">
        <v>136</v>
      </c>
      <c r="C327" s="23">
        <f t="shared" ref="C327:K327" si="105">IF(((C325="")*AND(C326="")),"",(C325-C326)*3)</f>
        <v>10809.180000000004</v>
      </c>
      <c r="D327" s="23">
        <f t="shared" si="105"/>
        <v>10876.259999999995</v>
      </c>
      <c r="E327" s="23">
        <f t="shared" si="105"/>
        <v>10651.259999999995</v>
      </c>
      <c r="F327" s="23">
        <f t="shared" si="105"/>
        <v>10703.760000000006</v>
      </c>
      <c r="G327" s="23">
        <f t="shared" si="105"/>
        <v>10338.570000000007</v>
      </c>
      <c r="H327" s="23">
        <f t="shared" si="105"/>
        <v>11177.220000000005</v>
      </c>
      <c r="I327" s="23">
        <f t="shared" si="105"/>
        <v>10941.54</v>
      </c>
      <c r="J327" s="23">
        <f t="shared" si="105"/>
        <v>10390.379999999997</v>
      </c>
      <c r="K327" s="23">
        <f t="shared" si="105"/>
        <v>10159.560000000001</v>
      </c>
      <c r="L327" s="103"/>
      <c r="M327" s="103"/>
      <c r="N327" s="103"/>
      <c r="O327" s="103"/>
      <c r="P327" s="103"/>
      <c r="Q327" s="104"/>
      <c r="R327" s="105"/>
      <c r="T327" s="97">
        <v>9000</v>
      </c>
      <c r="U327" s="77">
        <v>8090</v>
      </c>
      <c r="V327" s="77">
        <v>12070</v>
      </c>
    </row>
    <row r="328" spans="1:23">
      <c r="A328" s="110">
        <v>43109</v>
      </c>
      <c r="B328" s="21" t="s">
        <v>133</v>
      </c>
      <c r="C328" s="77">
        <v>29168.87</v>
      </c>
      <c r="D328" s="77">
        <v>28960.92</v>
      </c>
      <c r="E328" s="77">
        <v>28971.54</v>
      </c>
      <c r="F328" s="77">
        <v>28976.7</v>
      </c>
      <c r="G328" s="77">
        <v>29236.17</v>
      </c>
      <c r="H328" s="77">
        <v>29142.87</v>
      </c>
      <c r="I328" s="77">
        <v>28955.75</v>
      </c>
      <c r="J328" s="77">
        <v>28969.4</v>
      </c>
      <c r="K328" s="77">
        <v>29206.13</v>
      </c>
      <c r="L328" s="24">
        <f>IF((K329=""),"",MAX(C330:K330))</f>
        <v>9555.3900000000031</v>
      </c>
      <c r="M328" s="24">
        <f>IF(K329="","",MIN(C330:K330))</f>
        <v>8541.8999999999978</v>
      </c>
      <c r="N328" s="24">
        <f>IF((K330=""),"",AVERAGE(C330:K330))</f>
        <v>8974.5933333333305</v>
      </c>
      <c r="O328" s="24">
        <f>IF((K329=""),"",STDEV(C330:K330))</f>
        <v>331.81633903412472</v>
      </c>
      <c r="P328" s="24">
        <f>IF((K329=""),"",O328/N328*100)</f>
        <v>3.6972855115528889</v>
      </c>
      <c r="Q328" s="26" t="str">
        <f>IF(K329="","",IF(P328&lt;15,IF(N328&gt;9000,IF(N328&lt;15600,"Pass","Fail"),"Fail"),"Fail"))</f>
        <v>Fail</v>
      </c>
      <c r="R328" s="113"/>
      <c r="S328" s="92"/>
      <c r="T328" s="97">
        <v>9000</v>
      </c>
      <c r="U328" s="77">
        <v>8090</v>
      </c>
      <c r="V328" s="77">
        <v>12070</v>
      </c>
      <c r="W328" s="77">
        <v>6</v>
      </c>
    </row>
    <row r="329" spans="1:23">
      <c r="A329" s="107"/>
      <c r="B329" s="21" t="s">
        <v>135</v>
      </c>
      <c r="C329" s="77">
        <v>26279.57</v>
      </c>
      <c r="D329" s="77">
        <v>25961.15</v>
      </c>
      <c r="E329" s="77">
        <v>26006.720000000001</v>
      </c>
      <c r="F329" s="77">
        <v>25940.34</v>
      </c>
      <c r="G329" s="77">
        <v>26218.77</v>
      </c>
      <c r="H329" s="77">
        <v>26295.57</v>
      </c>
      <c r="I329" s="77">
        <v>26077.200000000001</v>
      </c>
      <c r="J329" s="77">
        <v>25864.25</v>
      </c>
      <c r="K329" s="77">
        <v>26021</v>
      </c>
      <c r="L329" s="99"/>
      <c r="M329" s="99"/>
      <c r="N329" s="99"/>
      <c r="O329" s="99"/>
      <c r="P329" s="99"/>
      <c r="Q329" s="100"/>
      <c r="R329" s="101"/>
      <c r="T329" s="97">
        <v>9000</v>
      </c>
      <c r="U329" s="77">
        <v>8090</v>
      </c>
      <c r="V329" s="77">
        <v>12070</v>
      </c>
    </row>
    <row r="330" spans="1:23">
      <c r="A330" s="107"/>
      <c r="B330" s="24" t="s">
        <v>136</v>
      </c>
      <c r="C330" s="25">
        <f t="shared" ref="C330:K330" si="106">IF(((C328="")*AND(C329="")),"",(C328-C329)*3)</f>
        <v>8667.8999999999978</v>
      </c>
      <c r="D330" s="25">
        <f t="shared" si="106"/>
        <v>8999.3099999999904</v>
      </c>
      <c r="E330" s="25">
        <f t="shared" si="106"/>
        <v>8894.4599999999991</v>
      </c>
      <c r="F330" s="25">
        <f t="shared" si="106"/>
        <v>9109.0800000000017</v>
      </c>
      <c r="G330" s="25">
        <f t="shared" si="106"/>
        <v>9052.1999999999935</v>
      </c>
      <c r="H330" s="25">
        <f t="shared" si="106"/>
        <v>8541.8999999999978</v>
      </c>
      <c r="I330" s="25">
        <f t="shared" si="106"/>
        <v>8635.6499999999978</v>
      </c>
      <c r="J330" s="25">
        <f t="shared" si="106"/>
        <v>9315.4500000000044</v>
      </c>
      <c r="K330" s="25">
        <f t="shared" si="106"/>
        <v>9555.3900000000031</v>
      </c>
      <c r="L330" s="99"/>
      <c r="M330" s="99"/>
      <c r="N330" s="99"/>
      <c r="O330" s="99"/>
      <c r="P330" s="99"/>
      <c r="Q330" s="100"/>
      <c r="R330" s="101"/>
      <c r="T330" s="97">
        <v>9000</v>
      </c>
      <c r="U330" s="77">
        <v>8090</v>
      </c>
      <c r="V330" s="77">
        <v>12070</v>
      </c>
    </row>
    <row r="331" spans="1:23">
      <c r="A331" s="110">
        <v>43109</v>
      </c>
      <c r="B331" s="21" t="s">
        <v>133</v>
      </c>
      <c r="C331" s="112">
        <v>29169.81</v>
      </c>
      <c r="D331" s="112">
        <v>28975.5</v>
      </c>
      <c r="E331" s="112">
        <v>29023.08</v>
      </c>
      <c r="F331" s="112">
        <v>28963.46</v>
      </c>
      <c r="G331" s="112">
        <v>29204.15</v>
      </c>
      <c r="H331" s="112">
        <v>29143.19</v>
      </c>
      <c r="I331" s="112">
        <v>28956.89</v>
      </c>
      <c r="J331" s="112">
        <v>28962.73</v>
      </c>
      <c r="K331" s="112">
        <v>29176.74</v>
      </c>
      <c r="L331" s="24">
        <f>IF((K332=""),"",MAX(C333:K333))</f>
        <v>10891.830000000002</v>
      </c>
      <c r="M331" s="24">
        <f>IF(K332="","",MIN(C333:K333))</f>
        <v>9725.3999999999978</v>
      </c>
      <c r="N331" s="24">
        <f>IF((K333=""),"",AVERAGE(C333:K333))</f>
        <v>10356.893333333333</v>
      </c>
      <c r="O331" s="24">
        <f>IF((K332=""),"",STDEV(C333:K333))</f>
        <v>362.1178919910069</v>
      </c>
      <c r="P331" s="24">
        <f>IF((K332=""),"",O331/N331*100)</f>
        <v>3.4963949162780499</v>
      </c>
      <c r="Q331" s="26" t="str">
        <f>IF(K332="","",IF(P331&lt;15,IF(N331&gt;9000,IF(N331&lt;15600,"Pass","Fail"),"Fail"),"Fail"))</f>
        <v>Pass</v>
      </c>
      <c r="R331" s="113">
        <v>121</v>
      </c>
      <c r="S331" s="77" t="s">
        <v>203</v>
      </c>
      <c r="T331" s="97">
        <v>9000</v>
      </c>
      <c r="U331" s="77">
        <v>8090</v>
      </c>
      <c r="V331" s="77">
        <v>12070</v>
      </c>
      <c r="W331" s="77">
        <v>6</v>
      </c>
    </row>
    <row r="332" spans="1:23">
      <c r="A332" s="107"/>
      <c r="B332" s="21" t="s">
        <v>135</v>
      </c>
      <c r="C332" s="77">
        <v>25820.59</v>
      </c>
      <c r="D332" s="77">
        <v>25513.67</v>
      </c>
      <c r="E332" s="77">
        <v>25549.88</v>
      </c>
      <c r="F332" s="77">
        <v>25443.42</v>
      </c>
      <c r="G332" s="77">
        <v>25723.23</v>
      </c>
      <c r="H332" s="77">
        <v>25901.39</v>
      </c>
      <c r="I332" s="77">
        <v>25609.58</v>
      </c>
      <c r="J332" s="77">
        <v>25396.98</v>
      </c>
      <c r="K332" s="77">
        <v>25546.13</v>
      </c>
      <c r="L332" s="99"/>
      <c r="M332" s="99"/>
      <c r="N332" s="99"/>
      <c r="O332" s="99"/>
      <c r="P332" s="99"/>
      <c r="Q332" s="100"/>
      <c r="R332" s="101"/>
      <c r="T332" s="97">
        <v>9000</v>
      </c>
      <c r="U332" s="77">
        <v>8090</v>
      </c>
      <c r="V332" s="77">
        <v>12070</v>
      </c>
    </row>
    <row r="333" spans="1:23" ht="15.75" thickBot="1">
      <c r="A333" s="108"/>
      <c r="B333" s="22" t="s">
        <v>136</v>
      </c>
      <c r="C333" s="23">
        <f t="shared" ref="C333:K333" si="107">IF(((C331="")*AND(C332="")),"",(C331-C332)*3)</f>
        <v>10047.660000000003</v>
      </c>
      <c r="D333" s="23">
        <f t="shared" si="107"/>
        <v>10385.490000000005</v>
      </c>
      <c r="E333" s="23">
        <f t="shared" si="107"/>
        <v>10419.600000000002</v>
      </c>
      <c r="F333" s="23">
        <f t="shared" si="107"/>
        <v>10560.120000000003</v>
      </c>
      <c r="G333" s="23">
        <f t="shared" si="107"/>
        <v>10442.760000000006</v>
      </c>
      <c r="H333" s="23">
        <f t="shared" si="107"/>
        <v>9725.3999999999978</v>
      </c>
      <c r="I333" s="23">
        <f t="shared" si="107"/>
        <v>10041.929999999993</v>
      </c>
      <c r="J333" s="23">
        <f t="shared" si="107"/>
        <v>10697.25</v>
      </c>
      <c r="K333" s="23">
        <f t="shared" si="107"/>
        <v>10891.830000000002</v>
      </c>
      <c r="L333" s="103"/>
      <c r="M333" s="103"/>
      <c r="N333" s="103"/>
      <c r="O333" s="103"/>
      <c r="P333" s="103"/>
      <c r="Q333" s="104"/>
      <c r="R333" s="105"/>
      <c r="T333" s="97">
        <v>9000</v>
      </c>
      <c r="U333" s="77">
        <v>8090</v>
      </c>
      <c r="V333" s="77">
        <v>12070</v>
      </c>
    </row>
    <row r="334" spans="1:23">
      <c r="A334" s="110">
        <v>43111</v>
      </c>
      <c r="B334" s="21" t="s">
        <v>133</v>
      </c>
      <c r="C334" s="77">
        <v>29164.77</v>
      </c>
      <c r="D334" s="77">
        <v>28944.46</v>
      </c>
      <c r="E334" s="77">
        <v>28940.66</v>
      </c>
      <c r="F334" s="77">
        <v>28931.38</v>
      </c>
      <c r="G334" s="77">
        <v>29180.58</v>
      </c>
      <c r="H334" s="77">
        <v>29134.7</v>
      </c>
      <c r="I334" s="77">
        <v>28938.18</v>
      </c>
      <c r="J334" s="77">
        <v>28934.49</v>
      </c>
      <c r="K334" s="77">
        <v>29181.39</v>
      </c>
      <c r="L334" s="24">
        <f>IF((K335=""),"",MAX(C336:K336))</f>
        <v>9597.5400000000009</v>
      </c>
      <c r="M334" s="24">
        <f>IF(K335="","",MIN(C336:K336))</f>
        <v>8536.77</v>
      </c>
      <c r="N334" s="24">
        <f>IF((K336=""),"",AVERAGE(C336:K336))</f>
        <v>9059.963333333335</v>
      </c>
      <c r="O334" s="24">
        <f>IF((K335=""),"",STDEV(C336:K336))</f>
        <v>379.95445430997779</v>
      </c>
      <c r="P334" s="24">
        <f>IF((K335=""),"",O334/N334*100)</f>
        <v>4.1937747464391251</v>
      </c>
      <c r="Q334" s="26" t="str">
        <f>IF(K335="","",IF(P334&lt;15,IF(N334&gt;9000,IF(N334&lt;15600,"Pass","Fail"),"Fail"),"Fail"))</f>
        <v>Pass</v>
      </c>
      <c r="R334" s="113">
        <v>121</v>
      </c>
      <c r="S334" s="92" t="s">
        <v>204</v>
      </c>
      <c r="T334" s="97">
        <v>9000</v>
      </c>
      <c r="U334" s="77">
        <v>8090</v>
      </c>
      <c r="V334" s="77">
        <v>12070</v>
      </c>
      <c r="W334" s="77">
        <v>6</v>
      </c>
    </row>
    <row r="335" spans="1:23">
      <c r="A335" s="107"/>
      <c r="B335" s="21" t="s">
        <v>135</v>
      </c>
      <c r="C335" s="77">
        <v>26019.64</v>
      </c>
      <c r="D335" s="77">
        <v>25835.37</v>
      </c>
      <c r="E335" s="77">
        <v>25953.360000000001</v>
      </c>
      <c r="F335" s="77">
        <v>25950.12</v>
      </c>
      <c r="G335" s="77">
        <v>26334.99</v>
      </c>
      <c r="H335" s="77">
        <v>25935.52</v>
      </c>
      <c r="I335" s="77">
        <v>25820.87</v>
      </c>
      <c r="J335" s="77">
        <v>26027.99</v>
      </c>
      <c r="K335" s="77">
        <v>26292.86</v>
      </c>
      <c r="L335" s="99"/>
      <c r="M335" s="99"/>
      <c r="N335" s="99"/>
      <c r="O335" s="99"/>
      <c r="P335" s="99"/>
      <c r="Q335" s="100"/>
      <c r="R335" s="101"/>
      <c r="T335" s="97">
        <v>9000</v>
      </c>
      <c r="U335" s="77">
        <v>8090</v>
      </c>
      <c r="V335" s="77">
        <v>12070</v>
      </c>
    </row>
    <row r="336" spans="1:23">
      <c r="A336" s="107"/>
      <c r="B336" s="24" t="s">
        <v>136</v>
      </c>
      <c r="C336" s="25">
        <f t="shared" ref="C336:K336" si="108">IF(((C334="")*AND(C335="")),"",(C334-C335)*3)</f>
        <v>9435.3900000000031</v>
      </c>
      <c r="D336" s="25">
        <f t="shared" si="108"/>
        <v>9327.27</v>
      </c>
      <c r="E336" s="25">
        <f t="shared" si="108"/>
        <v>8961.8999999999978</v>
      </c>
      <c r="F336" s="25">
        <f t="shared" si="108"/>
        <v>8943.7800000000061</v>
      </c>
      <c r="G336" s="25">
        <f t="shared" si="108"/>
        <v>8536.77</v>
      </c>
      <c r="H336" s="25">
        <f t="shared" si="108"/>
        <v>9597.5400000000009</v>
      </c>
      <c r="I336" s="25">
        <f t="shared" si="108"/>
        <v>9351.9300000000039</v>
      </c>
      <c r="J336" s="25">
        <f t="shared" si="108"/>
        <v>8719.5</v>
      </c>
      <c r="K336" s="25">
        <f t="shared" si="108"/>
        <v>8665.5899999999965</v>
      </c>
      <c r="L336" s="99"/>
      <c r="M336" s="99"/>
      <c r="N336" s="99"/>
      <c r="O336" s="99"/>
      <c r="P336" s="99"/>
      <c r="Q336" s="100"/>
      <c r="R336" s="101"/>
      <c r="T336" s="97">
        <v>9000</v>
      </c>
      <c r="U336" s="77">
        <v>8090</v>
      </c>
      <c r="V336" s="77">
        <v>12070</v>
      </c>
    </row>
    <row r="337" spans="1:23">
      <c r="A337" s="110">
        <v>43111</v>
      </c>
      <c r="B337" s="21" t="s">
        <v>133</v>
      </c>
      <c r="C337" s="112">
        <v>29321.68</v>
      </c>
      <c r="D337" s="112">
        <v>29159.19</v>
      </c>
      <c r="E337" s="112">
        <v>29217.09</v>
      </c>
      <c r="F337" s="112">
        <v>29142.95</v>
      </c>
      <c r="G337" s="112">
        <v>29358.55</v>
      </c>
      <c r="H337" s="112">
        <v>29303.200000000001</v>
      </c>
      <c r="I337" s="112">
        <v>29130.98</v>
      </c>
      <c r="J337" s="112">
        <v>29161.15</v>
      </c>
      <c r="K337" s="112">
        <v>29375.4</v>
      </c>
      <c r="L337" s="24">
        <f>IF((K338=""),"",MAX(C339:K339))</f>
        <v>10809.21</v>
      </c>
      <c r="M337" s="24">
        <f>IF(K338="","",MIN(C339:K339))</f>
        <v>9744.6000000000022</v>
      </c>
      <c r="N337" s="24">
        <f>IF((K339=""),"",AVERAGE(C339:K339))</f>
        <v>10334.136666666665</v>
      </c>
      <c r="O337" s="24">
        <f>IF((K338=""),"",STDEV(C339:K339))</f>
        <v>351.96501278546413</v>
      </c>
      <c r="P337" s="24">
        <f>IF((K338=""),"",O337/N337*100)</f>
        <v>3.405848249721207</v>
      </c>
      <c r="Q337" s="26" t="str">
        <f>IF(K338="","",IF(P337&lt;15,IF(N337&gt;9000,IF(N337&lt;15600,"Pass","Fail"),"Fail"),"Fail"))</f>
        <v>Pass</v>
      </c>
      <c r="R337" s="113">
        <v>121</v>
      </c>
      <c r="S337" s="92" t="s">
        <v>205</v>
      </c>
      <c r="T337" s="97">
        <v>9000</v>
      </c>
      <c r="U337" s="77">
        <v>8090</v>
      </c>
      <c r="V337" s="77">
        <v>12070</v>
      </c>
      <c r="W337" s="77">
        <v>6</v>
      </c>
    </row>
    <row r="338" spans="1:23">
      <c r="A338" s="107"/>
      <c r="B338" s="21" t="s">
        <v>135</v>
      </c>
      <c r="C338" s="77">
        <v>25995.06</v>
      </c>
      <c r="D338" s="77">
        <v>25716.21</v>
      </c>
      <c r="E338" s="77">
        <v>25753.19</v>
      </c>
      <c r="F338" s="77">
        <v>25625.88</v>
      </c>
      <c r="G338" s="77">
        <v>25862.45</v>
      </c>
      <c r="H338" s="77">
        <v>26055</v>
      </c>
      <c r="I338" s="77">
        <v>25788.55</v>
      </c>
      <c r="J338" s="77">
        <v>25599.11</v>
      </c>
      <c r="K338" s="77">
        <v>25772.33</v>
      </c>
      <c r="L338" s="99"/>
      <c r="M338" s="99"/>
      <c r="N338" s="99"/>
      <c r="O338" s="99"/>
      <c r="P338" s="99"/>
      <c r="Q338" s="100"/>
      <c r="R338" s="101"/>
      <c r="T338" s="97">
        <v>9000</v>
      </c>
      <c r="U338" s="77">
        <v>8090</v>
      </c>
      <c r="V338" s="77">
        <v>12070</v>
      </c>
    </row>
    <row r="339" spans="1:23" ht="15.75" thickBot="1">
      <c r="A339" s="108"/>
      <c r="B339" s="22" t="s">
        <v>136</v>
      </c>
      <c r="C339" s="23">
        <f t="shared" ref="C339:K339" si="109">IF(((C337="")*AND(C338="")),"",(C337-C338)*3)</f>
        <v>9979.8599999999969</v>
      </c>
      <c r="D339" s="23">
        <f t="shared" si="109"/>
        <v>10328.939999999999</v>
      </c>
      <c r="E339" s="23">
        <f t="shared" si="109"/>
        <v>10391.700000000004</v>
      </c>
      <c r="F339" s="23">
        <f t="shared" si="109"/>
        <v>10551.21</v>
      </c>
      <c r="G339" s="23">
        <f t="shared" si="109"/>
        <v>10488.299999999996</v>
      </c>
      <c r="H339" s="23">
        <f t="shared" si="109"/>
        <v>9744.6000000000022</v>
      </c>
      <c r="I339" s="23">
        <f t="shared" si="109"/>
        <v>10027.290000000001</v>
      </c>
      <c r="J339" s="23">
        <f t="shared" si="109"/>
        <v>10686.120000000003</v>
      </c>
      <c r="K339" s="23">
        <f t="shared" si="109"/>
        <v>10809.21</v>
      </c>
      <c r="L339" s="103"/>
      <c r="M339" s="103"/>
      <c r="N339" s="103"/>
      <c r="O339" s="103"/>
      <c r="P339" s="103"/>
      <c r="Q339" s="104"/>
      <c r="R339" s="105"/>
      <c r="T339" s="97">
        <v>9000</v>
      </c>
      <c r="U339" s="77">
        <v>8090</v>
      </c>
      <c r="V339" s="77">
        <v>12070</v>
      </c>
    </row>
    <row r="340" spans="1:23">
      <c r="A340" s="110">
        <v>43115</v>
      </c>
      <c r="B340" s="21" t="s">
        <v>133</v>
      </c>
      <c r="C340" s="77">
        <v>29159.63</v>
      </c>
      <c r="D340" s="77">
        <v>28999.89</v>
      </c>
      <c r="E340" s="77">
        <v>29050.69</v>
      </c>
      <c r="F340" s="77">
        <v>28977.759999999998</v>
      </c>
      <c r="G340" s="77">
        <v>29190.02</v>
      </c>
      <c r="H340" s="77">
        <v>29157.96</v>
      </c>
      <c r="I340" s="77">
        <v>28974.75</v>
      </c>
      <c r="J340" s="77">
        <v>28976.54</v>
      </c>
      <c r="K340" s="77">
        <v>29194.15</v>
      </c>
      <c r="L340" s="24">
        <f>IF((K341=""),"",MAX(C342:K342))</f>
        <v>9490.77</v>
      </c>
      <c r="M340" s="24">
        <f>IF(K341="","",MIN(C342:K342))</f>
        <v>8270.9399999999987</v>
      </c>
      <c r="N340" s="24">
        <f>IF((K342=""),"",AVERAGE(C342:K342))</f>
        <v>8868.3733333333312</v>
      </c>
      <c r="O340" s="24">
        <f>IF((K341=""),"",STDEV(C342:K342))</f>
        <v>439.96740975894841</v>
      </c>
      <c r="P340" s="24">
        <f>IF((K341=""),"",O340/N340*100)</f>
        <v>4.9610835405998754</v>
      </c>
      <c r="Q340" s="26" t="str">
        <f>IF(K341="","",IF(P340&lt;15,IF(N340&gt;9000,IF(N340&lt;15600,"Pass","Fail"),"Fail"),"Fail"))</f>
        <v>Fail</v>
      </c>
      <c r="R340" s="113">
        <v>1159</v>
      </c>
      <c r="T340" s="97">
        <v>9000</v>
      </c>
      <c r="U340" s="77">
        <v>8090</v>
      </c>
      <c r="V340" s="77">
        <v>12070</v>
      </c>
      <c r="W340" s="77">
        <v>6</v>
      </c>
    </row>
    <row r="341" spans="1:23">
      <c r="A341" s="107"/>
      <c r="B341" s="21" t="s">
        <v>135</v>
      </c>
      <c r="C341" s="77">
        <v>26402.65</v>
      </c>
      <c r="D341" s="77">
        <v>26091.55</v>
      </c>
      <c r="E341" s="77">
        <v>26108.22</v>
      </c>
      <c r="F341" s="77">
        <v>25908.22</v>
      </c>
      <c r="G341" s="77">
        <v>26106.37</v>
      </c>
      <c r="H341" s="77">
        <v>26360.31</v>
      </c>
      <c r="I341" s="77">
        <v>26160.23</v>
      </c>
      <c r="J341" s="77">
        <v>25908.16</v>
      </c>
      <c r="K341" s="77">
        <v>26030.560000000001</v>
      </c>
      <c r="L341" s="99"/>
      <c r="M341" s="99"/>
      <c r="N341" s="99"/>
      <c r="O341" s="99"/>
      <c r="P341" s="99"/>
      <c r="Q341" s="100"/>
      <c r="R341" s="101"/>
      <c r="T341" s="97">
        <v>9000</v>
      </c>
      <c r="U341" s="77">
        <v>8090</v>
      </c>
      <c r="V341" s="77">
        <v>12070</v>
      </c>
    </row>
    <row r="342" spans="1:23">
      <c r="A342" s="107"/>
      <c r="B342" s="24" t="s">
        <v>136</v>
      </c>
      <c r="C342" s="25">
        <f t="shared" ref="C342:K342" si="110">IF(((C340="")*AND(C341="")),"",(C340-C341)*3)</f>
        <v>8270.9399999999987</v>
      </c>
      <c r="D342" s="25">
        <f t="shared" si="110"/>
        <v>8725.02</v>
      </c>
      <c r="E342" s="25">
        <f t="shared" si="110"/>
        <v>8827.4099999999926</v>
      </c>
      <c r="F342" s="25">
        <f t="shared" si="110"/>
        <v>9208.6199999999917</v>
      </c>
      <c r="G342" s="25">
        <f t="shared" si="110"/>
        <v>9250.9500000000044</v>
      </c>
      <c r="H342" s="25">
        <f t="shared" si="110"/>
        <v>8392.9499999999935</v>
      </c>
      <c r="I342" s="25">
        <f t="shared" si="110"/>
        <v>8443.5600000000013</v>
      </c>
      <c r="J342" s="25">
        <f t="shared" si="110"/>
        <v>9205.1400000000031</v>
      </c>
      <c r="K342" s="25">
        <f t="shared" si="110"/>
        <v>9490.77</v>
      </c>
      <c r="L342" s="99"/>
      <c r="M342" s="99"/>
      <c r="N342" s="99"/>
      <c r="O342" s="99"/>
      <c r="P342" s="99"/>
      <c r="Q342" s="100"/>
      <c r="R342" s="101"/>
      <c r="T342" s="97">
        <v>9000</v>
      </c>
      <c r="U342" s="77">
        <v>8090</v>
      </c>
      <c r="V342" s="77">
        <v>12070</v>
      </c>
    </row>
    <row r="343" spans="1:23">
      <c r="A343" s="110">
        <v>43115</v>
      </c>
      <c r="B343" s="21" t="s">
        <v>133</v>
      </c>
      <c r="C343" s="112">
        <v>29300.71</v>
      </c>
      <c r="D343" s="112">
        <v>29164.55</v>
      </c>
      <c r="E343" s="112">
        <v>29159.11</v>
      </c>
      <c r="F343" s="112">
        <v>29167.53</v>
      </c>
      <c r="G343" s="112">
        <v>29361.87</v>
      </c>
      <c r="H343" s="112">
        <v>29309.86</v>
      </c>
      <c r="I343" s="112">
        <v>29149.78</v>
      </c>
      <c r="J343" s="112">
        <v>29152.86</v>
      </c>
      <c r="K343" s="112">
        <v>29344.92</v>
      </c>
      <c r="L343" s="24">
        <f>IF((K344=""),"",MAX(C345:K345))</f>
        <v>10870.71</v>
      </c>
      <c r="M343" s="24">
        <f>IF(K344="","",MIN(C345:K345))</f>
        <v>9728.4900000000052</v>
      </c>
      <c r="N343" s="24">
        <f>IF((K345=""),"",AVERAGE(C345:K345))</f>
        <v>10355.226666666664</v>
      </c>
      <c r="O343" s="24">
        <f>IF((K344=""),"",STDEV(C345:K345))</f>
        <v>418.55471464312774</v>
      </c>
      <c r="P343" s="24">
        <f>IF((K344=""),"",O343/N343*100)</f>
        <v>4.0419657446075012</v>
      </c>
      <c r="Q343" s="26" t="str">
        <f>IF(K344="","",IF(P343&lt;15,IF(N343&gt;9000,IF(N343&lt;15600,"Pass","Fail"),"Fail"),"Fail"))</f>
        <v>Pass</v>
      </c>
      <c r="R343" s="113">
        <v>1159</v>
      </c>
      <c r="S343" s="77" t="s">
        <v>206</v>
      </c>
      <c r="T343" s="97">
        <v>9000</v>
      </c>
      <c r="U343" s="77">
        <v>8090</v>
      </c>
      <c r="V343" s="77">
        <v>12070</v>
      </c>
      <c r="W343" s="77">
        <v>6</v>
      </c>
    </row>
    <row r="344" spans="1:23">
      <c r="A344" s="107"/>
      <c r="B344" s="21" t="s">
        <v>135</v>
      </c>
      <c r="C344" s="77">
        <v>26022.97</v>
      </c>
      <c r="D344" s="77">
        <v>25719.31</v>
      </c>
      <c r="E344" s="77">
        <v>25717.7</v>
      </c>
      <c r="F344" s="77">
        <v>25603.66</v>
      </c>
      <c r="G344" s="77">
        <v>25789.09</v>
      </c>
      <c r="H344" s="77">
        <v>26067.03</v>
      </c>
      <c r="I344" s="77">
        <v>25812.22</v>
      </c>
      <c r="J344" s="77">
        <v>25592.18</v>
      </c>
      <c r="K344" s="77">
        <v>25721.35</v>
      </c>
      <c r="L344" s="99"/>
      <c r="M344" s="99"/>
      <c r="N344" s="99"/>
      <c r="O344" s="99"/>
      <c r="P344" s="99"/>
      <c r="Q344" s="100"/>
      <c r="R344" s="101"/>
      <c r="T344" s="97">
        <v>9000</v>
      </c>
      <c r="U344" s="77">
        <v>8090</v>
      </c>
      <c r="V344" s="77">
        <v>12070</v>
      </c>
    </row>
    <row r="345" spans="1:23" ht="15.75" thickBot="1">
      <c r="A345" s="108"/>
      <c r="B345" s="22" t="s">
        <v>136</v>
      </c>
      <c r="C345" s="23">
        <f t="shared" ref="C345:K345" si="111">IF(((C343="")*AND(C344="")),"",(C343-C344)*3)</f>
        <v>9833.2199999999939</v>
      </c>
      <c r="D345" s="23">
        <f t="shared" si="111"/>
        <v>10335.719999999994</v>
      </c>
      <c r="E345" s="23">
        <f t="shared" si="111"/>
        <v>10324.23</v>
      </c>
      <c r="F345" s="23">
        <f t="shared" si="111"/>
        <v>10691.609999999997</v>
      </c>
      <c r="G345" s="23">
        <f t="shared" si="111"/>
        <v>10718.339999999997</v>
      </c>
      <c r="H345" s="23">
        <f t="shared" si="111"/>
        <v>9728.4900000000052</v>
      </c>
      <c r="I345" s="23">
        <f t="shared" si="111"/>
        <v>10012.679999999993</v>
      </c>
      <c r="J345" s="23">
        <f t="shared" si="111"/>
        <v>10682.04</v>
      </c>
      <c r="K345" s="23">
        <f t="shared" si="111"/>
        <v>10870.71</v>
      </c>
      <c r="L345" s="103"/>
      <c r="M345" s="103"/>
      <c r="N345" s="103"/>
      <c r="O345" s="103"/>
      <c r="P345" s="103"/>
      <c r="Q345" s="104"/>
      <c r="R345" s="105"/>
      <c r="T345" s="97">
        <v>9000</v>
      </c>
      <c r="U345" s="77">
        <v>8090</v>
      </c>
      <c r="V345" s="77">
        <v>12070</v>
      </c>
    </row>
    <row r="346" spans="1:23">
      <c r="A346" s="110">
        <v>43121</v>
      </c>
      <c r="B346" s="21" t="s">
        <v>133</v>
      </c>
      <c r="C346" s="77">
        <v>29222.21</v>
      </c>
      <c r="D346" s="77">
        <v>29048.87</v>
      </c>
      <c r="E346" s="77">
        <v>29033.279999999999</v>
      </c>
      <c r="F346" s="77">
        <v>29029.86</v>
      </c>
      <c r="G346" s="77">
        <v>29251</v>
      </c>
      <c r="H346" s="77">
        <v>29214.5</v>
      </c>
      <c r="I346" s="77">
        <v>29020.1</v>
      </c>
      <c r="J346" s="77">
        <v>29031.54</v>
      </c>
      <c r="K346" s="77">
        <v>29269.46</v>
      </c>
      <c r="L346" s="24">
        <f>IF((K347=""),"",MAX(C348:K348))</f>
        <v>10396.379999999997</v>
      </c>
      <c r="M346" s="24">
        <f>IF(K347="","",MIN(C348:K348))</f>
        <v>9117.7200000000048</v>
      </c>
      <c r="N346" s="24">
        <f>IF((K348=""),"",AVERAGE(C348:K348))</f>
        <v>9802.9233333333323</v>
      </c>
      <c r="O346" s="24">
        <f>IF((K347=""),"",STDEV(C348:K348))</f>
        <v>420.06480503013881</v>
      </c>
      <c r="P346" s="24">
        <f>IF((K347=""),"",O346/N346*100)</f>
        <v>4.2850973199165301</v>
      </c>
      <c r="Q346" s="26" t="str">
        <f>IF(K347="","",IF(P346&lt;15,IF(N346&gt;9000,IF(N346&lt;15600,"Pass","Fail"),"Fail"),"Fail"))</f>
        <v>Pass</v>
      </c>
      <c r="R346" s="113">
        <v>1159</v>
      </c>
      <c r="S346" s="77" t="s">
        <v>207</v>
      </c>
      <c r="T346" s="97">
        <v>9000</v>
      </c>
      <c r="U346" s="77">
        <v>8090</v>
      </c>
      <c r="V346" s="77">
        <v>12070</v>
      </c>
      <c r="W346" s="77">
        <v>6</v>
      </c>
    </row>
    <row r="347" spans="1:23">
      <c r="A347" s="107"/>
      <c r="B347" s="21" t="s">
        <v>135</v>
      </c>
      <c r="C347" s="77">
        <v>26096.17</v>
      </c>
      <c r="D347" s="77">
        <v>25781.34</v>
      </c>
      <c r="E347" s="77">
        <v>25762.82</v>
      </c>
      <c r="F347" s="77">
        <v>25675.49</v>
      </c>
      <c r="G347" s="77">
        <v>25892.36</v>
      </c>
      <c r="H347" s="77">
        <v>26175.26</v>
      </c>
      <c r="I347" s="77">
        <v>25878.35</v>
      </c>
      <c r="J347" s="77">
        <v>25646.26</v>
      </c>
      <c r="K347" s="77">
        <v>25804</v>
      </c>
      <c r="L347" s="99"/>
      <c r="M347" s="99"/>
      <c r="N347" s="99"/>
      <c r="O347" s="99"/>
      <c r="P347" s="99"/>
      <c r="Q347" s="100"/>
      <c r="R347" s="101"/>
      <c r="T347" s="97">
        <v>9000</v>
      </c>
      <c r="U347" s="77">
        <v>8090</v>
      </c>
      <c r="V347" s="77">
        <v>12070</v>
      </c>
    </row>
    <row r="348" spans="1:23" ht="15.75" thickBot="1">
      <c r="A348" s="108"/>
      <c r="B348" s="22" t="s">
        <v>136</v>
      </c>
      <c r="C348" s="23">
        <f t="shared" ref="C348:K348" si="112">IF(((C346="")*AND(C347="")),"",(C346-C347)*3)</f>
        <v>9378.1200000000026</v>
      </c>
      <c r="D348" s="23">
        <f t="shared" si="112"/>
        <v>9802.5899999999965</v>
      </c>
      <c r="E348" s="23">
        <f t="shared" si="112"/>
        <v>9811.3799999999974</v>
      </c>
      <c r="F348" s="23">
        <f t="shared" si="112"/>
        <v>10063.109999999997</v>
      </c>
      <c r="G348" s="23">
        <f t="shared" si="112"/>
        <v>10075.919999999998</v>
      </c>
      <c r="H348" s="23">
        <f t="shared" si="112"/>
        <v>9117.7200000000048</v>
      </c>
      <c r="I348" s="23">
        <f t="shared" si="112"/>
        <v>9425.25</v>
      </c>
      <c r="J348" s="23">
        <f t="shared" si="112"/>
        <v>10155.840000000007</v>
      </c>
      <c r="K348" s="23">
        <f t="shared" si="112"/>
        <v>10396.379999999997</v>
      </c>
      <c r="L348" s="103"/>
      <c r="M348" s="103"/>
      <c r="N348" s="103"/>
      <c r="O348" s="103"/>
      <c r="P348" s="103"/>
      <c r="Q348" s="104"/>
      <c r="R348" s="105"/>
      <c r="T348" s="97">
        <v>9000</v>
      </c>
      <c r="U348" s="77">
        <v>8090</v>
      </c>
      <c r="V348" s="77">
        <v>12070</v>
      </c>
    </row>
    <row r="349" spans="1:23">
      <c r="A349" s="110">
        <v>43125</v>
      </c>
      <c r="B349" s="21" t="s">
        <v>133</v>
      </c>
      <c r="C349" s="77">
        <v>29434.63</v>
      </c>
      <c r="D349" s="77">
        <v>29256.720000000001</v>
      </c>
      <c r="E349" s="77">
        <v>29322.84</v>
      </c>
      <c r="F349" s="77">
        <v>29252.97</v>
      </c>
      <c r="G349" s="77">
        <v>29441.66</v>
      </c>
      <c r="H349" s="77">
        <v>29451</v>
      </c>
      <c r="I349" s="77">
        <v>29258.01</v>
      </c>
      <c r="J349" s="77">
        <v>29249.22</v>
      </c>
      <c r="K349" s="77">
        <v>29455.119999999999</v>
      </c>
      <c r="L349" s="24">
        <f>IF((K350=""),"",MAX(C351:K351))</f>
        <v>9637.3500000000022</v>
      </c>
      <c r="M349" s="24">
        <f>IF(K350="","",MIN(C351:K351))</f>
        <v>8473.4100000000035</v>
      </c>
      <c r="N349" s="24">
        <f>IF((K351=""),"",AVERAGE(C351:K351))</f>
        <v>9140.463333333335</v>
      </c>
      <c r="O349" s="24">
        <f>IF((K350=""),"",STDEV(C351:K351))</f>
        <v>377.61575275005333</v>
      </c>
      <c r="P349" s="24">
        <f>IF((K350=""),"",O349/N349*100)</f>
        <v>4.1312539526630845</v>
      </c>
      <c r="Q349" s="26" t="str">
        <f>IF(K350="","",IF(P349&lt;15,IF(N349&gt;9000,IF(N349&lt;15600,"Pass","Fail"),"Fail"),"Fail"))</f>
        <v>Pass</v>
      </c>
      <c r="R349" s="113">
        <v>102</v>
      </c>
      <c r="T349" s="97">
        <v>9000</v>
      </c>
      <c r="U349" s="77">
        <v>8090</v>
      </c>
      <c r="V349" s="77">
        <v>12070</v>
      </c>
      <c r="W349" s="77">
        <v>6</v>
      </c>
    </row>
    <row r="350" spans="1:23">
      <c r="A350" s="107"/>
      <c r="B350" s="21" t="s">
        <v>135</v>
      </c>
      <c r="C350" s="77">
        <v>26281.43</v>
      </c>
      <c r="D350" s="77">
        <v>26101.73</v>
      </c>
      <c r="E350" s="77">
        <v>26294.799999999999</v>
      </c>
      <c r="F350" s="77">
        <v>26258.49</v>
      </c>
      <c r="G350" s="77">
        <v>26617.19</v>
      </c>
      <c r="H350" s="77">
        <v>26238.55</v>
      </c>
      <c r="I350" s="77">
        <v>26121.07</v>
      </c>
      <c r="J350" s="77">
        <v>26288.240000000002</v>
      </c>
      <c r="K350" s="77">
        <v>26499.279999999999</v>
      </c>
      <c r="L350" s="99"/>
      <c r="M350" s="99"/>
      <c r="N350" s="99"/>
      <c r="O350" s="99"/>
      <c r="P350" s="99"/>
      <c r="Q350" s="100"/>
      <c r="R350" s="101"/>
      <c r="T350" s="97">
        <v>9000</v>
      </c>
      <c r="U350" s="77">
        <v>8090</v>
      </c>
      <c r="V350" s="77">
        <v>12070</v>
      </c>
    </row>
    <row r="351" spans="1:23" ht="15.75" thickBot="1">
      <c r="A351" s="108"/>
      <c r="B351" s="22" t="s">
        <v>136</v>
      </c>
      <c r="C351" s="23">
        <f t="shared" ref="C351:K351" si="113">IF(((C349="")*AND(C350="")),"",(C349-C350)*3)</f>
        <v>9459.6000000000022</v>
      </c>
      <c r="D351" s="23">
        <f t="shared" si="113"/>
        <v>9464.9700000000048</v>
      </c>
      <c r="E351" s="23">
        <f t="shared" si="113"/>
        <v>9084.1200000000026</v>
      </c>
      <c r="F351" s="23">
        <f t="shared" si="113"/>
        <v>8983.4399999999987</v>
      </c>
      <c r="G351" s="23">
        <f t="shared" si="113"/>
        <v>8473.4100000000035</v>
      </c>
      <c r="H351" s="23">
        <f t="shared" si="113"/>
        <v>9637.3500000000022</v>
      </c>
      <c r="I351" s="23">
        <f t="shared" si="113"/>
        <v>9410.8199999999961</v>
      </c>
      <c r="J351" s="23">
        <f t="shared" si="113"/>
        <v>8882.9399999999987</v>
      </c>
      <c r="K351" s="23">
        <f t="shared" si="113"/>
        <v>8867.52</v>
      </c>
      <c r="L351" s="103"/>
      <c r="M351" s="103"/>
      <c r="N351" s="103"/>
      <c r="O351" s="103"/>
      <c r="P351" s="103"/>
      <c r="Q351" s="104"/>
      <c r="R351" s="105"/>
      <c r="T351" s="97">
        <v>9000</v>
      </c>
      <c r="U351" s="77">
        <v>8090</v>
      </c>
      <c r="V351" s="77">
        <v>12070</v>
      </c>
    </row>
    <row r="352" spans="1:23">
      <c r="A352" s="110">
        <v>43129</v>
      </c>
      <c r="B352" s="21" t="s">
        <v>133</v>
      </c>
      <c r="C352" s="77">
        <v>29369.54</v>
      </c>
      <c r="D352" s="77">
        <v>29206.25</v>
      </c>
      <c r="E352" s="77">
        <v>29279.93</v>
      </c>
      <c r="F352" s="77">
        <v>29218.53</v>
      </c>
      <c r="G352" s="77">
        <v>29425.78</v>
      </c>
      <c r="H352" s="77">
        <v>29366.43</v>
      </c>
      <c r="I352" s="77">
        <v>29197.68</v>
      </c>
      <c r="J352" s="77">
        <v>29225.08</v>
      </c>
      <c r="K352" s="77">
        <v>29434.58</v>
      </c>
      <c r="L352" s="24">
        <f>IF((K353=""),"",MAX(C354:K354))</f>
        <v>10185.030000000006</v>
      </c>
      <c r="M352" s="24">
        <f>IF(K353="","",MIN(C354:K354))</f>
        <v>9132.3599999999969</v>
      </c>
      <c r="N352" s="24">
        <f>IF((K354=""),"",AVERAGE(C354:K354))</f>
        <v>9669.760000000002</v>
      </c>
      <c r="O352" s="24">
        <f>IF((K353=""),"",STDEV(C354:K354))</f>
        <v>391.74481024004041</v>
      </c>
      <c r="P352" s="24">
        <f>IF((K353=""),"",O352/N352*100)</f>
        <v>4.0512361241648227</v>
      </c>
      <c r="Q352" s="26" t="str">
        <f>IF(K353="","",IF(P352&lt;15,IF(N352&gt;9000,IF(N352&lt;15600,"Pass","Fail"),"Fail"),"Fail"))</f>
        <v>Pass</v>
      </c>
      <c r="R352" s="118" t="s">
        <v>69</v>
      </c>
      <c r="S352" s="77" t="s">
        <v>208</v>
      </c>
      <c r="T352" s="97">
        <v>9000</v>
      </c>
      <c r="U352" s="77">
        <v>8090</v>
      </c>
      <c r="V352" s="77">
        <v>12070</v>
      </c>
      <c r="W352" s="77">
        <v>6</v>
      </c>
    </row>
    <row r="353" spans="1:23">
      <c r="A353" s="107"/>
      <c r="B353" s="21" t="s">
        <v>135</v>
      </c>
      <c r="C353" s="77">
        <v>26308.47</v>
      </c>
      <c r="D353" s="77">
        <v>26008.17</v>
      </c>
      <c r="E353" s="77">
        <v>26069.13</v>
      </c>
      <c r="F353" s="77">
        <v>25889.17</v>
      </c>
      <c r="G353" s="77">
        <v>26103.69</v>
      </c>
      <c r="H353" s="77">
        <v>26322.31</v>
      </c>
      <c r="I353" s="77">
        <v>26088.85</v>
      </c>
      <c r="J353" s="77">
        <v>25885.16</v>
      </c>
      <c r="K353" s="77">
        <v>26039.57</v>
      </c>
      <c r="L353" s="99"/>
      <c r="M353" s="99"/>
      <c r="N353" s="99"/>
      <c r="O353" s="99"/>
      <c r="P353" s="99"/>
      <c r="Q353" s="100"/>
      <c r="R353" s="101"/>
      <c r="T353" s="97">
        <v>9000</v>
      </c>
      <c r="U353" s="77">
        <v>8090</v>
      </c>
      <c r="V353" s="77">
        <v>12070</v>
      </c>
    </row>
    <row r="354" spans="1:23" ht="15.75" thickBot="1">
      <c r="A354" s="108"/>
      <c r="B354" s="22" t="s">
        <v>136</v>
      </c>
      <c r="C354" s="23">
        <f t="shared" ref="C354:K354" si="114">IF(((C352="")*AND(C353="")),"",(C352-C353)*3)</f>
        <v>9183.2099999999991</v>
      </c>
      <c r="D354" s="23">
        <f t="shared" si="114"/>
        <v>9594.2400000000052</v>
      </c>
      <c r="E354" s="23">
        <f t="shared" si="114"/>
        <v>9632.3999999999978</v>
      </c>
      <c r="F354" s="23">
        <f t="shared" si="114"/>
        <v>9988.0800000000017</v>
      </c>
      <c r="G354" s="23">
        <f t="shared" si="114"/>
        <v>9966.27</v>
      </c>
      <c r="H354" s="23">
        <f t="shared" si="114"/>
        <v>9132.3599999999969</v>
      </c>
      <c r="I354" s="23">
        <f t="shared" si="114"/>
        <v>9326.4900000000052</v>
      </c>
      <c r="J354" s="23">
        <f t="shared" si="114"/>
        <v>10019.760000000006</v>
      </c>
      <c r="K354" s="23">
        <f t="shared" si="114"/>
        <v>10185.030000000006</v>
      </c>
      <c r="L354" s="103"/>
      <c r="M354" s="103"/>
      <c r="N354" s="103"/>
      <c r="O354" s="103"/>
      <c r="P354" s="103"/>
      <c r="Q354" s="104"/>
      <c r="R354" s="105"/>
      <c r="T354" s="97">
        <v>9000</v>
      </c>
      <c r="U354" s="77">
        <v>8090</v>
      </c>
      <c r="V354" s="77">
        <v>12070</v>
      </c>
    </row>
    <row r="355" spans="1:23">
      <c r="A355" s="110">
        <v>43133</v>
      </c>
      <c r="B355" s="21" t="s">
        <v>133</v>
      </c>
      <c r="C355" s="77">
        <v>29317.82</v>
      </c>
      <c r="D355" s="77">
        <v>29134.21</v>
      </c>
      <c r="E355" s="77">
        <v>29147.3</v>
      </c>
      <c r="F355" s="77">
        <v>29149.03</v>
      </c>
      <c r="G355" s="77">
        <v>29360.23</v>
      </c>
      <c r="H355" s="77">
        <v>29345.62</v>
      </c>
      <c r="I355" s="77">
        <v>29140.720000000001</v>
      </c>
      <c r="J355" s="77">
        <v>29143.13</v>
      </c>
      <c r="K355" s="77">
        <v>29402.86</v>
      </c>
      <c r="L355" s="24">
        <f>IF((K356=""),"",MAX(C357:K357))</f>
        <v>11032.140000000003</v>
      </c>
      <c r="M355" s="24">
        <f>IF(K356="","",MIN(C357:K357))</f>
        <v>10202.73</v>
      </c>
      <c r="N355" s="24">
        <f>IF((K357=""),"",AVERAGE(C357:K357))</f>
        <v>10617.376666666667</v>
      </c>
      <c r="O355" s="24">
        <f>IF((K356=""),"",STDEV(C357:K357))</f>
        <v>300.64178680786046</v>
      </c>
      <c r="P355" s="24">
        <f>IF((K356=""),"",O355/N355*100)</f>
        <v>2.8316014044385143</v>
      </c>
      <c r="Q355" s="26" t="str">
        <f>IF(K356="","",IF(P355&lt;15,IF(N355&gt;9000,IF(N355&lt;15600,"Pass","Fail"),"Fail"),"Fail"))</f>
        <v>Pass</v>
      </c>
      <c r="R355" s="113">
        <v>1335</v>
      </c>
      <c r="S355" s="77" t="s">
        <v>209</v>
      </c>
      <c r="T355" s="97">
        <v>9000</v>
      </c>
      <c r="U355" s="77">
        <v>8090</v>
      </c>
      <c r="V355" s="77">
        <v>12070</v>
      </c>
      <c r="W355" s="77">
        <v>6</v>
      </c>
    </row>
    <row r="356" spans="1:23">
      <c r="A356" s="110"/>
      <c r="B356" s="21" t="s">
        <v>135</v>
      </c>
      <c r="C356" s="77">
        <v>25910.84</v>
      </c>
      <c r="D356" s="77">
        <v>25618.77</v>
      </c>
      <c r="E356" s="77">
        <v>25608.41</v>
      </c>
      <c r="F356" s="77">
        <v>25526.91</v>
      </c>
      <c r="G356" s="77">
        <v>25745.75</v>
      </c>
      <c r="H356" s="77">
        <v>25944.71</v>
      </c>
      <c r="I356" s="77">
        <v>25678.69</v>
      </c>
      <c r="J356" s="77">
        <v>25529.23</v>
      </c>
      <c r="K356" s="77">
        <v>25725.48</v>
      </c>
      <c r="L356" s="99"/>
      <c r="M356" s="99"/>
      <c r="N356" s="99"/>
      <c r="O356" s="99"/>
      <c r="P356" s="99"/>
      <c r="Q356" s="100"/>
      <c r="R356" s="101"/>
      <c r="T356" s="97">
        <v>9000</v>
      </c>
      <c r="U356" s="77">
        <v>8090</v>
      </c>
      <c r="V356" s="77">
        <v>12070</v>
      </c>
    </row>
    <row r="357" spans="1:23">
      <c r="A357" s="107"/>
      <c r="B357" s="24" t="s">
        <v>136</v>
      </c>
      <c r="C357" s="25">
        <f t="shared" ref="C357:K357" si="115">IF(((C355="")*AND(C356="")),"",(C355-C356)*3)</f>
        <v>10220.939999999999</v>
      </c>
      <c r="D357" s="25">
        <f t="shared" si="115"/>
        <v>10546.319999999996</v>
      </c>
      <c r="E357" s="25">
        <f t="shared" si="115"/>
        <v>10616.669999999998</v>
      </c>
      <c r="F357" s="25">
        <f t="shared" si="115"/>
        <v>10866.359999999997</v>
      </c>
      <c r="G357" s="25">
        <f t="shared" si="115"/>
        <v>10843.439999999999</v>
      </c>
      <c r="H357" s="25">
        <f t="shared" si="115"/>
        <v>10202.73</v>
      </c>
      <c r="I357" s="25">
        <f t="shared" si="115"/>
        <v>10386.090000000007</v>
      </c>
      <c r="J357" s="25">
        <f t="shared" si="115"/>
        <v>10841.700000000004</v>
      </c>
      <c r="K357" s="25">
        <f t="shared" si="115"/>
        <v>11032.140000000003</v>
      </c>
      <c r="L357" s="99"/>
      <c r="M357" s="99"/>
      <c r="N357" s="99"/>
      <c r="O357" s="99"/>
      <c r="P357" s="99"/>
      <c r="Q357" s="100"/>
      <c r="R357" s="101"/>
      <c r="T357" s="97">
        <v>9000</v>
      </c>
      <c r="U357" s="77">
        <v>8090</v>
      </c>
      <c r="V357" s="77">
        <v>12070</v>
      </c>
    </row>
    <row r="358" spans="1:23">
      <c r="A358" s="110">
        <v>43133</v>
      </c>
      <c r="B358" s="21" t="s">
        <v>133</v>
      </c>
      <c r="C358" s="112">
        <v>29337.09</v>
      </c>
      <c r="D358" s="112">
        <v>29159.86</v>
      </c>
      <c r="E358" s="112">
        <v>29146.75</v>
      </c>
      <c r="F358" s="112">
        <v>29123.200000000001</v>
      </c>
      <c r="G358" s="112">
        <v>29335.05</v>
      </c>
      <c r="H358" s="112">
        <v>29293.45</v>
      </c>
      <c r="I358" s="112">
        <v>29126.41</v>
      </c>
      <c r="J358" s="112">
        <v>29144.92</v>
      </c>
      <c r="K358" s="112">
        <v>29391.360000000001</v>
      </c>
      <c r="L358" s="24">
        <f>IF((K359=""),"",MAX(C360:K360))</f>
        <v>10260.870000000003</v>
      </c>
      <c r="M358" s="24">
        <f>IF(K359="","",MIN(C360:K360))</f>
        <v>9497.5499999999956</v>
      </c>
      <c r="N358" s="24">
        <f>IF((K360=""),"",AVERAGE(C360:K360))</f>
        <v>9940.090000000002</v>
      </c>
      <c r="O358" s="24">
        <f>IF((K359=""),"",STDEV(C360:K360))</f>
        <v>274.37045344746423</v>
      </c>
      <c r="P358" s="24">
        <f>IF((K359=""),"",O358/N358*100)</f>
        <v>2.7602411391392248</v>
      </c>
      <c r="Q358" s="26" t="str">
        <f>IF(K359="","",IF(P358&lt;15,IF(N358&gt;9000,IF(N358&lt;15600,"Pass","Fail"),"Fail"),"Fail"))</f>
        <v>Pass</v>
      </c>
      <c r="R358" s="113">
        <v>1335</v>
      </c>
      <c r="S358" s="92" t="s">
        <v>210</v>
      </c>
      <c r="T358" s="97">
        <v>9000</v>
      </c>
      <c r="U358" s="77">
        <v>8090</v>
      </c>
      <c r="V358" s="77">
        <v>12070</v>
      </c>
      <c r="W358" s="77">
        <v>6</v>
      </c>
    </row>
    <row r="359" spans="1:23">
      <c r="A359" s="107"/>
      <c r="B359" s="21" t="s">
        <v>135</v>
      </c>
      <c r="C359" s="77">
        <v>25929.01</v>
      </c>
      <c r="D359" s="77">
        <v>25739.57</v>
      </c>
      <c r="E359" s="77">
        <v>25830.63</v>
      </c>
      <c r="F359" s="77">
        <v>25809.98</v>
      </c>
      <c r="G359" s="77">
        <v>26169.200000000001</v>
      </c>
      <c r="H359" s="77">
        <v>25926.29</v>
      </c>
      <c r="I359" s="77">
        <v>25744.73</v>
      </c>
      <c r="J359" s="77">
        <v>25896.63</v>
      </c>
      <c r="K359" s="77">
        <v>26191.78</v>
      </c>
      <c r="L359" s="99"/>
      <c r="M359" s="99"/>
      <c r="N359" s="99"/>
      <c r="O359" s="99"/>
      <c r="P359" s="99"/>
      <c r="Q359" s="100"/>
      <c r="R359" s="101"/>
      <c r="T359" s="97">
        <v>9000</v>
      </c>
      <c r="U359" s="77">
        <v>8090</v>
      </c>
      <c r="V359" s="77">
        <v>12070</v>
      </c>
    </row>
    <row r="360" spans="1:23" ht="15.75" thickBot="1">
      <c r="A360" s="108"/>
      <c r="B360" s="22" t="s">
        <v>136</v>
      </c>
      <c r="C360" s="23">
        <f t="shared" ref="C360:K360" si="116">IF(((C358="")*AND(C359="")),"",(C358-C359)*3)</f>
        <v>10224.240000000005</v>
      </c>
      <c r="D360" s="23">
        <f t="shared" si="116"/>
        <v>10260.870000000003</v>
      </c>
      <c r="E360" s="23">
        <f t="shared" si="116"/>
        <v>9948.3599999999969</v>
      </c>
      <c r="F360" s="23">
        <f t="shared" si="116"/>
        <v>9939.6600000000035</v>
      </c>
      <c r="G360" s="23">
        <f t="shared" si="116"/>
        <v>9497.5499999999956</v>
      </c>
      <c r="H360" s="23">
        <f t="shared" si="116"/>
        <v>10101.48</v>
      </c>
      <c r="I360" s="23">
        <f t="shared" si="116"/>
        <v>10145.040000000001</v>
      </c>
      <c r="J360" s="23">
        <f t="shared" si="116"/>
        <v>9744.8699999999917</v>
      </c>
      <c r="K360" s="23">
        <f t="shared" si="116"/>
        <v>9598.7400000000052</v>
      </c>
      <c r="L360" s="103"/>
      <c r="M360" s="103"/>
      <c r="N360" s="103"/>
      <c r="O360" s="103"/>
      <c r="P360" s="103"/>
      <c r="Q360" s="104"/>
      <c r="R360" s="105"/>
      <c r="T360" s="97">
        <v>9000</v>
      </c>
      <c r="U360" s="77">
        <v>8090</v>
      </c>
      <c r="V360" s="77">
        <v>12070</v>
      </c>
    </row>
    <row r="361" spans="1:23">
      <c r="A361" s="110">
        <v>43137</v>
      </c>
      <c r="B361" s="21" t="s">
        <v>133</v>
      </c>
      <c r="C361" s="77">
        <v>29313.91</v>
      </c>
      <c r="D361" s="77">
        <v>29128.91</v>
      </c>
      <c r="E361" s="77">
        <v>29183.360000000001</v>
      </c>
      <c r="F361" s="77">
        <v>29115.37</v>
      </c>
      <c r="G361" s="77">
        <v>29343.07</v>
      </c>
      <c r="H361" s="77">
        <v>29306.37</v>
      </c>
      <c r="I361" s="77">
        <v>29114.06</v>
      </c>
      <c r="J361" s="77">
        <v>29132.02</v>
      </c>
      <c r="K361" s="77">
        <v>29421.08</v>
      </c>
      <c r="L361" s="24">
        <f>IF((K362=""),"",MAX(C363:K363))</f>
        <v>9677.8500000000022</v>
      </c>
      <c r="M361" s="24">
        <f>IF(K362="","",MIN(C363:K363))</f>
        <v>8469.9900000000052</v>
      </c>
      <c r="N361" s="24">
        <f>IF((K363=""),"",AVERAGE(C363:K363))</f>
        <v>9036.8866666666654</v>
      </c>
      <c r="O361" s="24">
        <f>IF((K362=""),"",STDEV(C363:K363))</f>
        <v>401.20431668292548</v>
      </c>
      <c r="P361" s="24">
        <f>IF((K362=""),"",O361/N361*100)</f>
        <v>4.4396298358239026</v>
      </c>
      <c r="Q361" s="26" t="str">
        <f>IF(K362="","",IF(P361&lt;15,IF(N361&gt;9000,IF(N361&lt;15600,"Pass","Fail"),"Fail"),"Fail"))</f>
        <v>Pass</v>
      </c>
      <c r="R361" s="113">
        <v>1519</v>
      </c>
      <c r="T361" s="97">
        <v>9000</v>
      </c>
      <c r="U361" s="77">
        <v>8090</v>
      </c>
      <c r="V361" s="77">
        <v>12070</v>
      </c>
      <c r="W361" s="77">
        <v>6</v>
      </c>
    </row>
    <row r="362" spans="1:23">
      <c r="A362" s="107"/>
      <c r="B362" s="21" t="s">
        <v>135</v>
      </c>
      <c r="C362" s="77">
        <v>26458.74</v>
      </c>
      <c r="D362" s="77">
        <v>26101.96</v>
      </c>
      <c r="E362" s="77">
        <v>26151.22</v>
      </c>
      <c r="F362" s="77">
        <v>26048.45</v>
      </c>
      <c r="G362" s="77">
        <v>26369.49</v>
      </c>
      <c r="H362" s="77">
        <v>26372.6</v>
      </c>
      <c r="I362" s="77">
        <v>26290.73</v>
      </c>
      <c r="J362" s="77">
        <v>25959.17</v>
      </c>
      <c r="K362" s="77">
        <v>26195.13</v>
      </c>
      <c r="L362" s="99"/>
      <c r="M362" s="99"/>
      <c r="N362" s="99"/>
      <c r="O362" s="99"/>
      <c r="P362" s="99"/>
      <c r="Q362" s="100"/>
      <c r="R362" s="101"/>
      <c r="T362" s="97">
        <v>9000</v>
      </c>
      <c r="U362" s="77">
        <v>8090</v>
      </c>
      <c r="V362" s="77">
        <v>12070</v>
      </c>
    </row>
    <row r="363" spans="1:23" ht="15.75" thickBot="1">
      <c r="A363" s="108"/>
      <c r="B363" s="22" t="s">
        <v>136</v>
      </c>
      <c r="C363" s="23">
        <f t="shared" ref="C363:K363" si="117">IF(((C361="")*AND(C362="")),"",(C361-C362)*3)</f>
        <v>8565.5099999999948</v>
      </c>
      <c r="D363" s="23">
        <f t="shared" si="117"/>
        <v>9080.8500000000022</v>
      </c>
      <c r="E363" s="23">
        <f t="shared" si="117"/>
        <v>9096.4199999999983</v>
      </c>
      <c r="F363" s="23">
        <f t="shared" si="117"/>
        <v>9200.7599999999948</v>
      </c>
      <c r="G363" s="23">
        <f t="shared" si="117"/>
        <v>8920.7399999999943</v>
      </c>
      <c r="H363" s="23">
        <f t="shared" si="117"/>
        <v>8801.3100000000013</v>
      </c>
      <c r="I363" s="23">
        <f t="shared" si="117"/>
        <v>8469.9900000000052</v>
      </c>
      <c r="J363" s="23">
        <f t="shared" si="117"/>
        <v>9518.5500000000065</v>
      </c>
      <c r="K363" s="23">
        <f t="shared" si="117"/>
        <v>9677.8500000000022</v>
      </c>
      <c r="L363" s="103"/>
      <c r="M363" s="103"/>
      <c r="N363" s="103"/>
      <c r="O363" s="103"/>
      <c r="P363" s="103"/>
      <c r="Q363" s="104"/>
      <c r="R363" s="105"/>
      <c r="T363" s="97">
        <v>9000</v>
      </c>
      <c r="U363" s="77">
        <v>8090</v>
      </c>
      <c r="V363" s="77">
        <v>12070</v>
      </c>
    </row>
    <row r="364" spans="1:23" ht="14.25" customHeight="1">
      <c r="A364" s="110">
        <v>43138</v>
      </c>
      <c r="B364" s="21" t="s">
        <v>133</v>
      </c>
      <c r="C364" s="112">
        <v>29268.95</v>
      </c>
      <c r="D364" s="112">
        <v>29090.99</v>
      </c>
      <c r="E364" s="112">
        <v>29085.13</v>
      </c>
      <c r="F364" s="119">
        <v>29085.65</v>
      </c>
      <c r="G364" s="112">
        <v>29323.759999999998</v>
      </c>
      <c r="H364" s="112">
        <v>29266.959999999999</v>
      </c>
      <c r="I364" s="112">
        <v>29072.95</v>
      </c>
      <c r="J364" s="112">
        <v>29079.3</v>
      </c>
      <c r="K364" s="112">
        <v>29359.55</v>
      </c>
      <c r="L364" s="24">
        <f>IF((K365=""),"",MAX(C366:K366))</f>
        <v>9483.929999999993</v>
      </c>
      <c r="M364" s="24">
        <f>IF(K365="","",MIN(C366:K366))</f>
        <v>8590.2000000000044</v>
      </c>
      <c r="N364" s="24">
        <f>IF((K366=""),"",AVERAGE(C366:K366))</f>
        <v>9136.7666666666664</v>
      </c>
      <c r="O364" s="24">
        <f>IF((K365=""),"",STDEV(C366:K366))</f>
        <v>321.01277793882957</v>
      </c>
      <c r="P364" s="24">
        <f>IF((K365=""),"",O364/N364*100)</f>
        <v>3.5134177072724078</v>
      </c>
      <c r="Q364" s="26" t="str">
        <f>IF(K365="","",IF(P364&lt;15,IF(N364&gt;9000,IF(N364&lt;15600,"Pass","Fail"),"Fail"),"Fail"))</f>
        <v>Pass</v>
      </c>
      <c r="R364" s="113">
        <v>102</v>
      </c>
      <c r="S364" s="120" t="s">
        <v>211</v>
      </c>
      <c r="T364" s="97">
        <v>9000</v>
      </c>
      <c r="U364" s="77">
        <v>8090</v>
      </c>
      <c r="V364" s="77">
        <v>12070</v>
      </c>
      <c r="W364" s="77">
        <v>6</v>
      </c>
    </row>
    <row r="365" spans="1:23">
      <c r="A365" s="107"/>
      <c r="B365" s="21" t="s">
        <v>135</v>
      </c>
      <c r="C365" s="77">
        <v>26405.55</v>
      </c>
      <c r="D365" s="77">
        <v>26057.040000000001</v>
      </c>
      <c r="E365" s="77">
        <v>26030.85</v>
      </c>
      <c r="F365" s="77">
        <v>25937.38</v>
      </c>
      <c r="G365" s="77">
        <v>26203.98</v>
      </c>
      <c r="H365" s="77">
        <v>26337.9</v>
      </c>
      <c r="I365" s="77">
        <v>26109.82</v>
      </c>
      <c r="J365" s="77">
        <v>25942.18</v>
      </c>
      <c r="K365" s="77">
        <v>26198.240000000002</v>
      </c>
      <c r="L365" s="99"/>
      <c r="M365" s="99"/>
      <c r="N365" s="99"/>
      <c r="O365" s="99"/>
      <c r="P365" s="99"/>
      <c r="Q365" s="100"/>
      <c r="R365" s="101"/>
      <c r="S365" s="121"/>
      <c r="T365" s="97">
        <v>9000</v>
      </c>
      <c r="U365" s="77">
        <v>8090</v>
      </c>
      <c r="V365" s="77">
        <v>12070</v>
      </c>
    </row>
    <row r="366" spans="1:23" ht="15.75" thickBot="1">
      <c r="A366" s="108"/>
      <c r="B366" s="22" t="s">
        <v>136</v>
      </c>
      <c r="C366" s="23">
        <f t="shared" ref="C366:K366" si="118">IF(((C364="")*AND(C365="")),"",(C364-C365)*3)</f>
        <v>8590.2000000000044</v>
      </c>
      <c r="D366" s="23">
        <f t="shared" si="118"/>
        <v>9101.8500000000022</v>
      </c>
      <c r="E366" s="23">
        <f t="shared" si="118"/>
        <v>9162.8400000000074</v>
      </c>
      <c r="F366" s="23">
        <f t="shared" si="118"/>
        <v>9444.8100000000013</v>
      </c>
      <c r="G366" s="23">
        <f t="shared" si="118"/>
        <v>9359.3399999999965</v>
      </c>
      <c r="H366" s="23">
        <f t="shared" si="118"/>
        <v>8787.179999999993</v>
      </c>
      <c r="I366" s="23">
        <f t="shared" si="118"/>
        <v>8889.3900000000031</v>
      </c>
      <c r="J366" s="23">
        <f t="shared" si="118"/>
        <v>9411.3599999999969</v>
      </c>
      <c r="K366" s="23">
        <f t="shared" si="118"/>
        <v>9483.929999999993</v>
      </c>
      <c r="L366" s="103"/>
      <c r="M366" s="103"/>
      <c r="N366" s="103"/>
      <c r="O366" s="103"/>
      <c r="P366" s="103"/>
      <c r="Q366" s="104"/>
      <c r="R366" s="105"/>
      <c r="S366" s="121"/>
      <c r="T366" s="97">
        <v>9000</v>
      </c>
      <c r="U366" s="77">
        <v>8090</v>
      </c>
      <c r="V366" s="77">
        <v>12070</v>
      </c>
    </row>
    <row r="367" spans="1:23">
      <c r="A367" s="110">
        <v>43138</v>
      </c>
      <c r="B367" s="21" t="s">
        <v>133</v>
      </c>
      <c r="C367" s="77">
        <v>29249.65</v>
      </c>
      <c r="D367" s="77">
        <v>29098.42</v>
      </c>
      <c r="E367" s="77">
        <v>29156.2</v>
      </c>
      <c r="F367" s="77">
        <v>29090.639999999999</v>
      </c>
      <c r="G367" s="77">
        <v>29319.68</v>
      </c>
      <c r="H367" s="77">
        <v>29219.56</v>
      </c>
      <c r="I367" s="77">
        <v>29082.16</v>
      </c>
      <c r="J367" s="77">
        <v>29107.08</v>
      </c>
      <c r="K367" s="77">
        <v>29364.94</v>
      </c>
      <c r="L367" s="24">
        <f>IF((K368=""),"",MAX(C369:K369))</f>
        <v>9969.3599999999969</v>
      </c>
      <c r="M367" s="24">
        <f>IF(K368="","",MIN(C369:K369))</f>
        <v>9171.6299999999974</v>
      </c>
      <c r="N367" s="24">
        <f>IF((K369=""),"",AVERAGE(C369:K369))</f>
        <v>9544.0966666666682</v>
      </c>
      <c r="O367" s="24">
        <f>IF((K368=""),"",STDEV(C369:K369))</f>
        <v>284.51576880728391</v>
      </c>
      <c r="P367" s="24">
        <f>IF((K368=""),"",O367/N367*100)</f>
        <v>2.9810654558956045</v>
      </c>
      <c r="Q367" s="26" t="str">
        <f>IF(K368="","",IF(P367&lt;15,IF(N367&gt;9000,IF(N367&lt;15600,"Pass","Fail"),"Fail"),"Fail"))</f>
        <v>Pass</v>
      </c>
      <c r="R367" s="113">
        <v>102</v>
      </c>
      <c r="S367" s="121"/>
      <c r="T367" s="97">
        <v>9000</v>
      </c>
      <c r="U367" s="77">
        <v>8090</v>
      </c>
      <c r="V367" s="77">
        <v>12070</v>
      </c>
      <c r="W367" s="77">
        <v>6</v>
      </c>
    </row>
    <row r="368" spans="1:23">
      <c r="A368" s="107"/>
      <c r="B368" s="21" t="s">
        <v>135</v>
      </c>
      <c r="C368" s="77">
        <v>26153.39</v>
      </c>
      <c r="D368" s="77">
        <v>25957.46</v>
      </c>
      <c r="E368" s="77">
        <v>25983.63</v>
      </c>
      <c r="F368" s="77">
        <v>25836.55</v>
      </c>
      <c r="G368" s="77">
        <v>26093.599999999999</v>
      </c>
      <c r="H368" s="77">
        <v>26139.07</v>
      </c>
      <c r="I368" s="77">
        <v>26024.95</v>
      </c>
      <c r="J368" s="77">
        <v>25825.57</v>
      </c>
      <c r="K368" s="77">
        <v>26041.82</v>
      </c>
      <c r="L368" s="99"/>
      <c r="M368" s="99"/>
      <c r="N368" s="99"/>
      <c r="O368" s="99"/>
      <c r="P368" s="99"/>
      <c r="Q368" s="100"/>
      <c r="R368" s="101"/>
      <c r="S368" s="121"/>
      <c r="T368" s="97">
        <v>9000</v>
      </c>
      <c r="U368" s="77">
        <v>8090</v>
      </c>
      <c r="V368" s="77">
        <v>12070</v>
      </c>
    </row>
    <row r="369" spans="1:23" ht="15.75" thickBot="1">
      <c r="A369" s="108"/>
      <c r="B369" s="22" t="s">
        <v>136</v>
      </c>
      <c r="C369" s="23">
        <f t="shared" ref="C369:K369" si="119">IF(((C367="")*AND(C368="")),"",(C367-C368)*3)</f>
        <v>9288.7800000000061</v>
      </c>
      <c r="D369" s="23">
        <f t="shared" si="119"/>
        <v>9422.8799999999974</v>
      </c>
      <c r="E369" s="23">
        <f t="shared" si="119"/>
        <v>9517.7099999999991</v>
      </c>
      <c r="F369" s="23">
        <f t="shared" si="119"/>
        <v>9762.27</v>
      </c>
      <c r="G369" s="23">
        <f t="shared" si="119"/>
        <v>9678.2400000000052</v>
      </c>
      <c r="H369" s="23">
        <f t="shared" si="119"/>
        <v>9241.4700000000048</v>
      </c>
      <c r="I369" s="23">
        <f t="shared" si="119"/>
        <v>9171.6299999999974</v>
      </c>
      <c r="J369" s="23">
        <f t="shared" si="119"/>
        <v>9844.5300000000061</v>
      </c>
      <c r="K369" s="23">
        <f t="shared" si="119"/>
        <v>9969.3599999999969</v>
      </c>
      <c r="L369" s="103"/>
      <c r="M369" s="103"/>
      <c r="N369" s="103"/>
      <c r="O369" s="103"/>
      <c r="P369" s="103"/>
      <c r="Q369" s="104"/>
      <c r="R369" s="105"/>
      <c r="S369" s="121"/>
      <c r="T369" s="97">
        <v>9000</v>
      </c>
      <c r="U369" s="77">
        <v>8090</v>
      </c>
      <c r="V369" s="77">
        <v>12070</v>
      </c>
    </row>
    <row r="370" spans="1:23">
      <c r="A370" s="110">
        <v>43141</v>
      </c>
      <c r="B370" s="21" t="s">
        <v>133</v>
      </c>
      <c r="C370" s="77">
        <v>29261.919999999998</v>
      </c>
      <c r="D370" s="77">
        <v>29050.02</v>
      </c>
      <c r="E370" s="77">
        <v>29088.48</v>
      </c>
      <c r="F370" s="77">
        <v>29092.23</v>
      </c>
      <c r="G370" s="77">
        <v>29342.15</v>
      </c>
      <c r="H370" s="77">
        <v>29218.53</v>
      </c>
      <c r="I370" s="77">
        <v>29048.46</v>
      </c>
      <c r="J370" s="77">
        <v>29073.439999999999</v>
      </c>
      <c r="K370" s="77">
        <v>29313.52</v>
      </c>
      <c r="L370" s="24">
        <f>IF((K371=""),"",MAX(C372:K372))</f>
        <v>8811.6000000000022</v>
      </c>
      <c r="M370" s="24">
        <f>IF(K371="","",MIN(C372:K372))</f>
        <v>7691.4899999999943</v>
      </c>
      <c r="N370" s="24">
        <f>IF((K372=""),"",AVERAGE(C372:K372))</f>
        <v>8328.7699999999968</v>
      </c>
      <c r="O370" s="24">
        <f>IF((K371=""),"",STDEV(C372:K372))</f>
        <v>429.95765140303894</v>
      </c>
      <c r="P370" s="24">
        <f>IF((K371=""),"",O370/N370*100)</f>
        <v>5.1623187025579904</v>
      </c>
      <c r="Q370" s="26" t="str">
        <f>IF(K371="","",IF(P370&lt;15,IF(N370&gt;9000,IF(N370&lt;15600,"Pass","Fail"),"Fail"),"Fail"))</f>
        <v>Fail</v>
      </c>
      <c r="R370" s="113">
        <v>102</v>
      </c>
      <c r="T370" s="97">
        <v>9000</v>
      </c>
      <c r="U370" s="77">
        <v>8090</v>
      </c>
      <c r="V370" s="77">
        <v>12070</v>
      </c>
      <c r="W370" s="77">
        <v>6</v>
      </c>
    </row>
    <row r="371" spans="1:23">
      <c r="A371" s="107"/>
      <c r="B371" s="21" t="s">
        <v>135</v>
      </c>
      <c r="C371" s="77">
        <v>26698.09</v>
      </c>
      <c r="D371" s="77">
        <v>26327.59</v>
      </c>
      <c r="E371" s="77">
        <v>26302.66</v>
      </c>
      <c r="F371" s="77">
        <v>26155.03</v>
      </c>
      <c r="G371" s="77">
        <v>26405.08</v>
      </c>
      <c r="H371" s="77">
        <v>26602.61</v>
      </c>
      <c r="I371" s="77">
        <v>26394.53</v>
      </c>
      <c r="J371" s="77">
        <v>26195.45</v>
      </c>
      <c r="K371" s="77">
        <v>26421.4</v>
      </c>
      <c r="L371" s="99"/>
      <c r="M371" s="99"/>
      <c r="N371" s="99"/>
      <c r="O371" s="99"/>
      <c r="P371" s="99"/>
      <c r="Q371" s="100"/>
      <c r="R371" s="101"/>
      <c r="T371" s="97">
        <v>9000</v>
      </c>
      <c r="U371" s="77">
        <v>8090</v>
      </c>
      <c r="V371" s="77">
        <v>12070</v>
      </c>
    </row>
    <row r="372" spans="1:23">
      <c r="A372" s="107"/>
      <c r="B372" s="24" t="s">
        <v>136</v>
      </c>
      <c r="C372" s="25">
        <f t="shared" ref="C372:K372" si="120">IF(((C370="")*AND(C371="")),"",(C370-C371)*3)</f>
        <v>7691.4899999999943</v>
      </c>
      <c r="D372" s="25">
        <f t="shared" si="120"/>
        <v>8167.2900000000009</v>
      </c>
      <c r="E372" s="25">
        <f t="shared" si="120"/>
        <v>8357.4599999999991</v>
      </c>
      <c r="F372" s="25">
        <f t="shared" si="120"/>
        <v>8811.6000000000022</v>
      </c>
      <c r="G372" s="25">
        <f t="shared" si="120"/>
        <v>8811.2099999999991</v>
      </c>
      <c r="H372" s="25">
        <f t="shared" si="120"/>
        <v>7847.7599999999948</v>
      </c>
      <c r="I372" s="25">
        <f t="shared" si="120"/>
        <v>7961.7900000000009</v>
      </c>
      <c r="J372" s="25">
        <f t="shared" si="120"/>
        <v>8633.9699999999939</v>
      </c>
      <c r="K372" s="25">
        <f t="shared" si="120"/>
        <v>8676.3599999999969</v>
      </c>
      <c r="L372" s="99"/>
      <c r="M372" s="99"/>
      <c r="N372" s="99"/>
      <c r="O372" s="99"/>
      <c r="P372" s="99"/>
      <c r="Q372" s="100"/>
      <c r="R372" s="101"/>
      <c r="T372" s="97">
        <v>9000</v>
      </c>
      <c r="U372" s="77">
        <v>8090</v>
      </c>
      <c r="V372" s="77">
        <v>12070</v>
      </c>
    </row>
    <row r="373" spans="1:23">
      <c r="A373" s="110">
        <v>43141</v>
      </c>
      <c r="B373" s="21" t="s">
        <v>133</v>
      </c>
      <c r="C373" s="77">
        <v>29294.71</v>
      </c>
      <c r="D373" s="77">
        <v>29294.71</v>
      </c>
      <c r="E373" s="77">
        <v>29294.71</v>
      </c>
      <c r="F373" s="77">
        <v>29134.91</v>
      </c>
      <c r="G373" s="77">
        <v>29363.73</v>
      </c>
      <c r="H373" s="77">
        <v>29400.29</v>
      </c>
      <c r="I373" s="77">
        <v>29114.61</v>
      </c>
      <c r="J373" s="77">
        <v>29138.78</v>
      </c>
      <c r="K373" s="77">
        <v>29356.44</v>
      </c>
      <c r="L373" s="24">
        <f>IF((K374=""),"",MAX(C375:K375))</f>
        <v>10057.349999999991</v>
      </c>
      <c r="M373" s="24">
        <f>IF(K374="","",MIN(C375:K375))</f>
        <v>9115.8300000000017</v>
      </c>
      <c r="N373" s="24">
        <f>IF((K375=""),"",AVERAGE(C375:K375))</f>
        <v>9686.746666666666</v>
      </c>
      <c r="O373" s="24">
        <f>IF((K374=""),"",STDEV(C375:K375))</f>
        <v>389.63621998601582</v>
      </c>
      <c r="P373" s="24">
        <f>IF((K374=""),"",O373/N373*100)</f>
        <v>4.0223640959539484</v>
      </c>
      <c r="Q373" s="26" t="str">
        <f>IF(K374="","",IF(P373&lt;15,IF(N373&gt;9000,IF(N373&lt;15600,"Pass","Fail"),"Fail"),"Fail"))</f>
        <v>Pass</v>
      </c>
      <c r="R373" s="113">
        <v>102</v>
      </c>
      <c r="S373" s="92" t="s">
        <v>212</v>
      </c>
      <c r="T373" s="97">
        <v>9000</v>
      </c>
      <c r="U373" s="77">
        <v>8090</v>
      </c>
      <c r="V373" s="77">
        <v>12070</v>
      </c>
      <c r="W373" s="77">
        <v>6</v>
      </c>
    </row>
    <row r="374" spans="1:23">
      <c r="A374" s="110"/>
      <c r="B374" s="21" t="s">
        <v>135</v>
      </c>
      <c r="C374" s="77">
        <v>26256.1</v>
      </c>
      <c r="D374" s="77">
        <v>25961.87</v>
      </c>
      <c r="E374" s="77">
        <v>25973.54</v>
      </c>
      <c r="F374" s="77">
        <v>25838.22</v>
      </c>
      <c r="G374" s="77">
        <v>26095.119999999999</v>
      </c>
      <c r="H374" s="77">
        <v>26329.37</v>
      </c>
      <c r="I374" s="77">
        <v>26047.439999999999</v>
      </c>
      <c r="J374" s="77">
        <v>25827</v>
      </c>
      <c r="K374" s="77">
        <v>26003.99</v>
      </c>
      <c r="L374" s="99"/>
      <c r="M374" s="99"/>
      <c r="N374" s="99"/>
      <c r="O374" s="99"/>
      <c r="P374" s="99"/>
      <c r="Q374" s="100"/>
      <c r="R374" s="101"/>
      <c r="T374" s="97">
        <v>9000</v>
      </c>
      <c r="U374" s="77">
        <v>8090</v>
      </c>
      <c r="V374" s="77">
        <v>12070</v>
      </c>
    </row>
    <row r="375" spans="1:23" ht="15.75" thickBot="1">
      <c r="A375" s="108"/>
      <c r="B375" s="22" t="s">
        <v>136</v>
      </c>
      <c r="C375" s="23">
        <f t="shared" ref="C375:K375" si="121">IF(((C373="")*AND(C374="")),"",(C373-C374)*3)</f>
        <v>9115.8300000000017</v>
      </c>
      <c r="D375" s="23">
        <f t="shared" si="121"/>
        <v>9998.52</v>
      </c>
      <c r="E375" s="23">
        <f t="shared" si="121"/>
        <v>9963.5099999999948</v>
      </c>
      <c r="F375" s="23">
        <f t="shared" si="121"/>
        <v>9890.0699999999961</v>
      </c>
      <c r="G375" s="23">
        <f t="shared" si="121"/>
        <v>9805.8300000000017</v>
      </c>
      <c r="H375" s="23">
        <f t="shared" si="121"/>
        <v>9212.7600000000057</v>
      </c>
      <c r="I375" s="23">
        <f t="shared" si="121"/>
        <v>9201.5100000000057</v>
      </c>
      <c r="J375" s="23">
        <f t="shared" si="121"/>
        <v>9935.3399999999965</v>
      </c>
      <c r="K375" s="23">
        <f t="shared" si="121"/>
        <v>10057.349999999991</v>
      </c>
      <c r="L375" s="103"/>
      <c r="M375" s="103"/>
      <c r="N375" s="103"/>
      <c r="O375" s="103"/>
      <c r="P375" s="103"/>
      <c r="Q375" s="104"/>
      <c r="R375" s="105"/>
      <c r="T375" s="97">
        <v>9000</v>
      </c>
      <c r="U375" s="77">
        <v>8090</v>
      </c>
      <c r="V375" s="77">
        <v>12070</v>
      </c>
    </row>
    <row r="376" spans="1:23">
      <c r="A376" s="110">
        <v>43144</v>
      </c>
      <c r="B376" s="21" t="s">
        <v>133</v>
      </c>
      <c r="C376" s="77">
        <v>29449.66</v>
      </c>
      <c r="D376" s="77">
        <v>29311.9</v>
      </c>
      <c r="E376" s="77">
        <v>29374.59</v>
      </c>
      <c r="F376" s="77">
        <v>29305.53</v>
      </c>
      <c r="G376" s="77">
        <v>29540.85</v>
      </c>
      <c r="H376" s="77">
        <v>29450.34</v>
      </c>
      <c r="I376" s="77">
        <v>29300.19</v>
      </c>
      <c r="J376" s="77">
        <v>29292.7</v>
      </c>
      <c r="K376" s="77">
        <v>29504.82</v>
      </c>
      <c r="L376" s="24">
        <f>IF((K377=""),"",MAX(C378:K378))</f>
        <v>10561.410000000003</v>
      </c>
      <c r="M376" s="24">
        <f>IF(K377="","",MIN(C378:K378))</f>
        <v>9152.9100000000035</v>
      </c>
      <c r="N376" s="24">
        <f>IF((K378=""),"",AVERAGE(C378:K378))</f>
        <v>10024.183333333334</v>
      </c>
      <c r="O376" s="24">
        <f>IF((K377=""),"",STDEV(C378:K378))</f>
        <v>527.54247374023817</v>
      </c>
      <c r="P376" s="24">
        <f>IF((K377=""),"",O376/N376*100)</f>
        <v>5.2626977799378976</v>
      </c>
      <c r="Q376" s="26" t="str">
        <f>IF(K377="","",IF(P376&lt;15,IF(N376&gt;9000,IF(N376&lt;15600,"Pass","Fail"),"Fail"),"Fail"))</f>
        <v>Pass</v>
      </c>
      <c r="R376" s="113">
        <v>1335</v>
      </c>
      <c r="S376" s="77" t="s">
        <v>213</v>
      </c>
      <c r="T376" s="97">
        <v>9000</v>
      </c>
      <c r="U376" s="77">
        <v>8090</v>
      </c>
      <c r="V376" s="77">
        <v>12070</v>
      </c>
      <c r="W376" s="77">
        <v>6</v>
      </c>
    </row>
    <row r="377" spans="1:23">
      <c r="A377" s="107"/>
      <c r="B377" s="21" t="s">
        <v>135</v>
      </c>
      <c r="C377" s="77">
        <v>25984.99</v>
      </c>
      <c r="D377" s="77">
        <v>25826.560000000001</v>
      </c>
      <c r="E377" s="77">
        <v>25989.17</v>
      </c>
      <c r="F377" s="77">
        <v>25958.59</v>
      </c>
      <c r="G377" s="77">
        <v>26395.41</v>
      </c>
      <c r="H377" s="77">
        <v>25929.87</v>
      </c>
      <c r="I377" s="77">
        <v>25798.26</v>
      </c>
      <c r="J377" s="77">
        <v>26121.33</v>
      </c>
      <c r="K377" s="77">
        <v>26453.85</v>
      </c>
      <c r="L377" s="99"/>
      <c r="M377" s="99"/>
      <c r="N377" s="99"/>
      <c r="O377" s="99"/>
      <c r="P377" s="99"/>
      <c r="Q377" s="100"/>
      <c r="R377" s="101"/>
      <c r="S377" s="77" t="s">
        <v>214</v>
      </c>
      <c r="T377" s="97">
        <v>9000</v>
      </c>
      <c r="U377" s="77">
        <v>8090</v>
      </c>
      <c r="V377" s="77">
        <v>12070</v>
      </c>
    </row>
    <row r="378" spans="1:23" ht="15.75" thickBot="1">
      <c r="A378" s="108"/>
      <c r="B378" s="22" t="s">
        <v>136</v>
      </c>
      <c r="C378" s="23">
        <f t="shared" ref="C378:K378" si="122">IF(((C376="")*AND(C377="")),"",(C376-C377)*3)</f>
        <v>10394.009999999995</v>
      </c>
      <c r="D378" s="23">
        <f t="shared" si="122"/>
        <v>10456.02</v>
      </c>
      <c r="E378" s="23">
        <f t="shared" si="122"/>
        <v>10156.260000000006</v>
      </c>
      <c r="F378" s="23">
        <f t="shared" si="122"/>
        <v>10040.819999999996</v>
      </c>
      <c r="G378" s="23">
        <f t="shared" si="122"/>
        <v>9436.3199999999961</v>
      </c>
      <c r="H378" s="23">
        <f t="shared" si="122"/>
        <v>10561.410000000003</v>
      </c>
      <c r="I378" s="23">
        <f t="shared" si="122"/>
        <v>10505.79</v>
      </c>
      <c r="J378" s="23">
        <f t="shared" si="122"/>
        <v>9514.1099999999969</v>
      </c>
      <c r="K378" s="23">
        <f t="shared" si="122"/>
        <v>9152.9100000000035</v>
      </c>
      <c r="L378" s="103"/>
      <c r="M378" s="103"/>
      <c r="N378" s="103"/>
      <c r="O378" s="103"/>
      <c r="P378" s="103"/>
      <c r="Q378" s="104"/>
      <c r="R378" s="105"/>
      <c r="T378" s="97">
        <v>9000</v>
      </c>
      <c r="U378" s="77">
        <v>8090</v>
      </c>
      <c r="V378" s="77">
        <v>12070</v>
      </c>
    </row>
    <row r="379" spans="1:23">
      <c r="A379" s="110">
        <v>43145</v>
      </c>
      <c r="B379" s="21" t="s">
        <v>133</v>
      </c>
      <c r="C379" s="77">
        <v>29458.22</v>
      </c>
      <c r="D379" s="77">
        <v>29254.62</v>
      </c>
      <c r="E379" s="77">
        <v>29253.26</v>
      </c>
      <c r="F379" s="77">
        <v>29257.57</v>
      </c>
      <c r="G379" s="77">
        <v>29479.81</v>
      </c>
      <c r="H379" s="77">
        <v>29402.74</v>
      </c>
      <c r="I379" s="77">
        <v>29249.52</v>
      </c>
      <c r="J379" s="77">
        <v>29253.56</v>
      </c>
      <c r="K379" s="77">
        <v>29465.919999999998</v>
      </c>
      <c r="L379" s="24">
        <f>IF((K380=""),"",MAX(C381:K381))</f>
        <v>12479.430000000004</v>
      </c>
      <c r="M379" s="24">
        <f>IF(K380="","",MIN(C381:K381))</f>
        <v>11517.720000000005</v>
      </c>
      <c r="N379" s="24">
        <f>IF((K381=""),"",AVERAGE(C381:K381))</f>
        <v>11919.776666666665</v>
      </c>
      <c r="O379" s="24">
        <f>IF((K380=""),"",STDEV(C381:K381))</f>
        <v>341.0575941465936</v>
      </c>
      <c r="P379" s="24">
        <f>IF((K380=""),"",O379/N379*100)</f>
        <v>2.861275036304598</v>
      </c>
      <c r="Q379" s="26" t="str">
        <f>IF(K380="","",IF(P379&lt;15,IF(N379&gt;9000,IF(N379&lt;15600,"Pass","Fail"),"Fail"),"Fail"))</f>
        <v>Pass</v>
      </c>
      <c r="R379" s="113">
        <v>1335</v>
      </c>
      <c r="S379" s="77" t="s">
        <v>215</v>
      </c>
      <c r="T379" s="97">
        <v>9000</v>
      </c>
      <c r="U379" s="77">
        <v>8090</v>
      </c>
      <c r="V379" s="77">
        <v>12070</v>
      </c>
      <c r="W379" s="77">
        <v>6</v>
      </c>
    </row>
    <row r="380" spans="1:23">
      <c r="A380" s="107"/>
      <c r="B380" s="21" t="s">
        <v>135</v>
      </c>
      <c r="C380" s="77">
        <v>25376.52</v>
      </c>
      <c r="D380" s="77">
        <v>25212.55</v>
      </c>
      <c r="E380" s="77">
        <v>25339.71</v>
      </c>
      <c r="F380" s="77">
        <v>25319.08</v>
      </c>
      <c r="G380" s="77">
        <v>25640.57</v>
      </c>
      <c r="H380" s="77">
        <v>25242.93</v>
      </c>
      <c r="I380" s="77">
        <v>25197.87</v>
      </c>
      <c r="J380" s="77">
        <v>25401.05</v>
      </c>
      <c r="K380" s="77">
        <v>25585.61</v>
      </c>
      <c r="L380" s="99"/>
      <c r="M380" s="99"/>
      <c r="N380" s="99"/>
      <c r="O380" s="99"/>
      <c r="P380" s="99"/>
      <c r="Q380" s="100"/>
      <c r="R380" s="101"/>
      <c r="T380" s="97">
        <v>9000</v>
      </c>
      <c r="U380" s="77">
        <v>8090</v>
      </c>
      <c r="V380" s="77">
        <v>12070</v>
      </c>
    </row>
    <row r="381" spans="1:23" ht="15.75" thickBot="1">
      <c r="A381" s="108"/>
      <c r="B381" s="22" t="s">
        <v>136</v>
      </c>
      <c r="C381" s="23">
        <f t="shared" ref="C381:K381" si="123">IF(((C379="")*AND(C380="")),"",(C379-C380)*3)</f>
        <v>12245.100000000002</v>
      </c>
      <c r="D381" s="23">
        <f t="shared" si="123"/>
        <v>12126.21</v>
      </c>
      <c r="E381" s="23">
        <f t="shared" si="123"/>
        <v>11740.649999999998</v>
      </c>
      <c r="F381" s="23">
        <f t="shared" si="123"/>
        <v>11815.469999999994</v>
      </c>
      <c r="G381" s="23">
        <f t="shared" si="123"/>
        <v>11517.720000000005</v>
      </c>
      <c r="H381" s="23">
        <f t="shared" si="123"/>
        <v>12479.430000000004</v>
      </c>
      <c r="I381" s="23">
        <f t="shared" si="123"/>
        <v>12154.950000000004</v>
      </c>
      <c r="J381" s="23">
        <f t="shared" si="123"/>
        <v>11557.530000000006</v>
      </c>
      <c r="K381" s="23">
        <f t="shared" si="123"/>
        <v>11640.929999999993</v>
      </c>
      <c r="L381" s="103"/>
      <c r="M381" s="103"/>
      <c r="N381" s="103"/>
      <c r="O381" s="103"/>
      <c r="P381" s="103"/>
      <c r="Q381" s="104"/>
      <c r="R381" s="105"/>
      <c r="T381" s="97">
        <v>9000</v>
      </c>
      <c r="U381" s="77">
        <v>8090</v>
      </c>
      <c r="V381" s="77">
        <v>12070</v>
      </c>
    </row>
    <row r="382" spans="1:23">
      <c r="A382" s="110">
        <v>43146</v>
      </c>
      <c r="B382" s="21" t="s">
        <v>133</v>
      </c>
      <c r="C382" s="77">
        <v>29379.84</v>
      </c>
      <c r="D382" s="77">
        <v>29230.76</v>
      </c>
      <c r="E382" s="77">
        <v>29296.98</v>
      </c>
      <c r="F382" s="77">
        <v>29235.5</v>
      </c>
      <c r="G382" s="77">
        <v>29465.07</v>
      </c>
      <c r="H382" s="77">
        <v>29368.61</v>
      </c>
      <c r="I382" s="77">
        <v>29227.71</v>
      </c>
      <c r="J382" s="77">
        <v>29229.79</v>
      </c>
      <c r="K382" s="77">
        <v>29411.1</v>
      </c>
      <c r="L382" s="24">
        <f>IF((K383=""),"",MAX(C384:K384))</f>
        <v>7512.6599999999926</v>
      </c>
      <c r="M382" s="24">
        <f>IF(K383="","",MIN(C384:K384))</f>
        <v>6475.2900000000009</v>
      </c>
      <c r="N382" s="24">
        <f>IF((K384=""),"",AVERAGE(C384:K384))</f>
        <v>7062.2899999999972</v>
      </c>
      <c r="O382" s="24">
        <f>IF((K383=""),"",STDEV(C384:K384))</f>
        <v>363.10026827999991</v>
      </c>
      <c r="P382" s="24">
        <f>IF((K383=""),"",O382/N382*100)</f>
        <v>5.1413956136040868</v>
      </c>
      <c r="Q382" s="26" t="str">
        <f>IF(K383="","",IF(P382&lt;15,IF(N382&gt;9000,IF(N382&lt;15600,"Pass","Fail"),"Fail"),"Fail"))</f>
        <v>Fail</v>
      </c>
      <c r="R382" s="113">
        <v>1428</v>
      </c>
      <c r="T382" s="97">
        <v>9000</v>
      </c>
      <c r="U382" s="77">
        <v>8090</v>
      </c>
      <c r="V382" s="77">
        <v>12070</v>
      </c>
      <c r="W382" s="77">
        <v>6</v>
      </c>
    </row>
    <row r="383" spans="1:23">
      <c r="A383" s="107"/>
      <c r="B383" s="21" t="s">
        <v>135</v>
      </c>
      <c r="C383" s="77">
        <v>27221.41</v>
      </c>
      <c r="D383" s="77">
        <v>26942.97</v>
      </c>
      <c r="E383" s="77">
        <v>26951.29</v>
      </c>
      <c r="F383" s="77">
        <v>26772.98</v>
      </c>
      <c r="G383" s="77">
        <v>26997.75</v>
      </c>
      <c r="H383" s="77">
        <v>27119.61</v>
      </c>
      <c r="I383" s="77">
        <v>26961.97</v>
      </c>
      <c r="J383" s="77">
        <v>26783.63</v>
      </c>
      <c r="K383" s="77">
        <v>26906.880000000001</v>
      </c>
      <c r="L383" s="99"/>
      <c r="M383" s="99"/>
      <c r="N383" s="99"/>
      <c r="O383" s="99"/>
      <c r="P383" s="99"/>
      <c r="Q383" s="100"/>
      <c r="R383" s="101"/>
      <c r="T383" s="97">
        <v>9000</v>
      </c>
      <c r="U383" s="77">
        <v>8090</v>
      </c>
      <c r="V383" s="77">
        <v>12070</v>
      </c>
    </row>
    <row r="384" spans="1:23" ht="15.75" thickBot="1">
      <c r="A384" s="108"/>
      <c r="B384" s="22" t="s">
        <v>136</v>
      </c>
      <c r="C384" s="23">
        <f t="shared" ref="C384:K384" si="124">IF(((C382="")*AND(C383="")),"",(C382-C383)*3)</f>
        <v>6475.2900000000009</v>
      </c>
      <c r="D384" s="23">
        <f t="shared" si="124"/>
        <v>6863.3699999999917</v>
      </c>
      <c r="E384" s="23">
        <f t="shared" si="124"/>
        <v>7037.0699999999961</v>
      </c>
      <c r="F384" s="23">
        <f t="shared" si="124"/>
        <v>7387.5600000000013</v>
      </c>
      <c r="G384" s="23">
        <f t="shared" si="124"/>
        <v>7401.9599999999991</v>
      </c>
      <c r="H384" s="23">
        <f t="shared" si="124"/>
        <v>6747</v>
      </c>
      <c r="I384" s="23">
        <f t="shared" si="124"/>
        <v>6797.2199999999939</v>
      </c>
      <c r="J384" s="23">
        <f t="shared" si="124"/>
        <v>7338.48</v>
      </c>
      <c r="K384" s="23">
        <f t="shared" si="124"/>
        <v>7512.6599999999926</v>
      </c>
      <c r="L384" s="103"/>
      <c r="M384" s="103"/>
      <c r="N384" s="103"/>
      <c r="O384" s="103"/>
      <c r="P384" s="103"/>
      <c r="Q384" s="104"/>
      <c r="R384" s="105"/>
      <c r="T384" s="97">
        <v>9000</v>
      </c>
      <c r="U384" s="77">
        <v>8090</v>
      </c>
      <c r="V384" s="77">
        <v>12070</v>
      </c>
    </row>
    <row r="385" spans="1:23">
      <c r="A385" s="110">
        <v>43146</v>
      </c>
      <c r="B385" s="21" t="s">
        <v>133</v>
      </c>
      <c r="C385" s="77">
        <v>29311.38</v>
      </c>
      <c r="D385" s="77">
        <v>29176.29</v>
      </c>
      <c r="E385" s="77">
        <v>29238.66</v>
      </c>
      <c r="F385" s="77">
        <v>29182.36</v>
      </c>
      <c r="G385" s="77">
        <v>29414.63</v>
      </c>
      <c r="H385" s="77">
        <v>29341.95</v>
      </c>
      <c r="I385" s="77">
        <v>29173.85</v>
      </c>
      <c r="J385" s="77">
        <v>29166.68</v>
      </c>
      <c r="K385" s="77">
        <v>29371.64</v>
      </c>
      <c r="L385" s="24">
        <f>IF((K386=""),"",MAX(C387:K387))</f>
        <v>10949.189999999999</v>
      </c>
      <c r="M385" s="24">
        <f>IF(K386="","",MIN(C387:K387))</f>
        <v>10042.290000000001</v>
      </c>
      <c r="N385" s="24">
        <f>IF((K387=""),"",AVERAGE(C387:K387))</f>
        <v>10480.666666666666</v>
      </c>
      <c r="O385" s="24">
        <f>IF((K386=""),"",STDEV(C387:K387))</f>
        <v>298.3132281680144</v>
      </c>
      <c r="P385" s="24">
        <f>IF((K386=""),"",O385/N385*100)</f>
        <v>2.8463192052160911</v>
      </c>
      <c r="Q385" s="26" t="str">
        <f>IF(K386="","",IF(P385&lt;15,IF(N385&gt;9000,IF(N385&lt;15600,"Pass","Fail"),"Fail"),"Fail"))</f>
        <v>Pass</v>
      </c>
      <c r="R385" s="113">
        <v>1428</v>
      </c>
      <c r="T385" s="97">
        <v>9000</v>
      </c>
      <c r="U385" s="77">
        <v>8090</v>
      </c>
      <c r="V385" s="77">
        <v>12070</v>
      </c>
      <c r="W385" s="77">
        <v>6</v>
      </c>
    </row>
    <row r="386" spans="1:23">
      <c r="A386" s="107"/>
      <c r="B386" s="21" t="s">
        <v>135</v>
      </c>
      <c r="C386" s="77">
        <v>25760.34</v>
      </c>
      <c r="D386" s="77">
        <v>25604.639999999999</v>
      </c>
      <c r="E386" s="77">
        <v>25751.22</v>
      </c>
      <c r="F386" s="77">
        <v>25712.7</v>
      </c>
      <c r="G386" s="77">
        <v>26067.200000000001</v>
      </c>
      <c r="H386" s="77">
        <v>25692.22</v>
      </c>
      <c r="I386" s="77">
        <v>25608.63</v>
      </c>
      <c r="J386" s="77">
        <v>25748.39</v>
      </c>
      <c r="K386" s="77">
        <v>25990.1</v>
      </c>
      <c r="L386" s="99"/>
      <c r="M386" s="99"/>
      <c r="N386" s="99"/>
      <c r="O386" s="99"/>
      <c r="P386" s="99"/>
      <c r="Q386" s="100"/>
      <c r="R386" s="101"/>
      <c r="T386" s="97">
        <v>9000</v>
      </c>
      <c r="U386" s="77">
        <v>8090</v>
      </c>
      <c r="V386" s="77">
        <v>12070</v>
      </c>
    </row>
    <row r="387" spans="1:23" ht="15.75" thickBot="1">
      <c r="A387" s="108"/>
      <c r="B387" s="22" t="s">
        <v>136</v>
      </c>
      <c r="C387" s="23">
        <f t="shared" ref="C387:K387" si="125">IF(((C385="")*AND(C386="")),"",(C385-C386)*3)</f>
        <v>10653.120000000003</v>
      </c>
      <c r="D387" s="23">
        <f t="shared" si="125"/>
        <v>10714.950000000004</v>
      </c>
      <c r="E387" s="23">
        <f t="shared" si="125"/>
        <v>10462.319999999996</v>
      </c>
      <c r="F387" s="23">
        <f t="shared" si="125"/>
        <v>10408.98</v>
      </c>
      <c r="G387" s="23">
        <f t="shared" si="125"/>
        <v>10042.290000000001</v>
      </c>
      <c r="H387" s="23">
        <f t="shared" si="125"/>
        <v>10949.189999999999</v>
      </c>
      <c r="I387" s="23">
        <f t="shared" si="125"/>
        <v>10695.659999999993</v>
      </c>
      <c r="J387" s="23">
        <f t="shared" si="125"/>
        <v>10254.870000000003</v>
      </c>
      <c r="K387" s="23">
        <f t="shared" si="125"/>
        <v>10144.620000000003</v>
      </c>
      <c r="L387" s="103"/>
      <c r="M387" s="103"/>
      <c r="N387" s="103"/>
      <c r="O387" s="103"/>
      <c r="P387" s="103"/>
      <c r="Q387" s="104"/>
      <c r="R387" s="105"/>
      <c r="T387" s="97">
        <v>9000</v>
      </c>
      <c r="U387" s="77">
        <v>8090</v>
      </c>
      <c r="V387" s="77">
        <v>12070</v>
      </c>
    </row>
    <row r="388" spans="1:23">
      <c r="A388" s="110">
        <v>43151</v>
      </c>
      <c r="B388" s="21" t="s">
        <v>133</v>
      </c>
      <c r="C388" s="77">
        <v>29290.03</v>
      </c>
      <c r="D388" s="77">
        <v>29150.12</v>
      </c>
      <c r="E388" s="77">
        <v>29190.560000000001</v>
      </c>
      <c r="F388" s="77">
        <v>29126.33</v>
      </c>
      <c r="G388" s="77">
        <v>29353.59</v>
      </c>
      <c r="H388" s="77">
        <v>29288.29</v>
      </c>
      <c r="I388" s="77">
        <v>29125.48</v>
      </c>
      <c r="J388" s="77">
        <v>29132.38</v>
      </c>
      <c r="K388" s="77">
        <v>29324.36</v>
      </c>
      <c r="L388" s="24">
        <f>IF((K389=""),"",MAX(C390:K390))</f>
        <v>8706.2400000000052</v>
      </c>
      <c r="M388" s="24">
        <f>IF(K389="","",MIN(C390:K390))</f>
        <v>7749.179999999993</v>
      </c>
      <c r="N388" s="24">
        <f>IF((K390=""),"",AVERAGE(C390:K390))</f>
        <v>8309.6566666666695</v>
      </c>
      <c r="O388" s="24">
        <f>IF((K389=""),"",STDEV(C390:K390))</f>
        <v>276.74559066047544</v>
      </c>
      <c r="P388" s="24">
        <f>IF((K389=""),"",O388/N388*100)</f>
        <v>3.3304094472472228</v>
      </c>
      <c r="Q388" s="26" t="str">
        <f>IF(K389="","",IF(P388&lt;15,IF(N388&gt;9000,IF(N388&lt;15600,"Pass","Fail"),"Fail"),"Fail"))</f>
        <v>Fail</v>
      </c>
      <c r="R388" s="113">
        <v>121</v>
      </c>
      <c r="S388" s="77" t="s">
        <v>216</v>
      </c>
      <c r="T388" s="97">
        <v>9000</v>
      </c>
      <c r="U388" s="77">
        <v>8090</v>
      </c>
      <c r="V388" s="77">
        <v>12070</v>
      </c>
      <c r="W388" s="77">
        <v>6</v>
      </c>
    </row>
    <row r="389" spans="1:23">
      <c r="A389" s="107"/>
      <c r="B389" s="21" t="s">
        <v>135</v>
      </c>
      <c r="C389" s="77">
        <v>26706.97</v>
      </c>
      <c r="D389" s="77">
        <v>26409.94</v>
      </c>
      <c r="E389" s="77">
        <v>26408.880000000001</v>
      </c>
      <c r="F389" s="77">
        <v>26302.78</v>
      </c>
      <c r="G389" s="77">
        <v>26555.09</v>
      </c>
      <c r="H389" s="77">
        <v>26590.77</v>
      </c>
      <c r="I389" s="77">
        <v>26367.759999999998</v>
      </c>
      <c r="J389" s="77">
        <v>26287.7</v>
      </c>
      <c r="K389" s="77">
        <v>26422.28</v>
      </c>
      <c r="L389" s="99"/>
      <c r="M389" s="99"/>
      <c r="N389" s="99"/>
      <c r="O389" s="99"/>
      <c r="P389" s="99"/>
      <c r="Q389" s="100"/>
      <c r="R389" s="101"/>
      <c r="T389" s="97">
        <v>9000</v>
      </c>
      <c r="U389" s="77">
        <v>8090</v>
      </c>
      <c r="V389" s="77">
        <v>12070</v>
      </c>
    </row>
    <row r="390" spans="1:23" ht="15.75" thickBot="1">
      <c r="A390" s="108"/>
      <c r="B390" s="22" t="s">
        <v>136</v>
      </c>
      <c r="C390" s="23">
        <f t="shared" ref="C390:K390" si="126">IF(((C388="")*AND(C389="")),"",(C388-C389)*3)</f>
        <v>7749.179999999993</v>
      </c>
      <c r="D390" s="23">
        <f t="shared" si="126"/>
        <v>8220.5400000000009</v>
      </c>
      <c r="E390" s="23">
        <f t="shared" si="126"/>
        <v>8345.0400000000009</v>
      </c>
      <c r="F390" s="23">
        <f t="shared" si="126"/>
        <v>8470.6500000000087</v>
      </c>
      <c r="G390" s="23">
        <f t="shared" si="126"/>
        <v>8395.5</v>
      </c>
      <c r="H390" s="23">
        <f t="shared" si="126"/>
        <v>8092.5600000000013</v>
      </c>
      <c r="I390" s="23">
        <f t="shared" si="126"/>
        <v>8273.1600000000035</v>
      </c>
      <c r="J390" s="23">
        <f t="shared" si="126"/>
        <v>8534.0400000000009</v>
      </c>
      <c r="K390" s="23">
        <f t="shared" si="126"/>
        <v>8706.2400000000052</v>
      </c>
      <c r="L390" s="103"/>
      <c r="M390" s="103"/>
      <c r="N390" s="103"/>
      <c r="O390" s="103"/>
      <c r="P390" s="103"/>
      <c r="Q390" s="104"/>
      <c r="R390" s="105"/>
      <c r="T390" s="97">
        <v>9000</v>
      </c>
      <c r="U390" s="77">
        <v>8090</v>
      </c>
      <c r="V390" s="77">
        <v>12070</v>
      </c>
    </row>
    <row r="391" spans="1:23">
      <c r="A391" s="110">
        <v>43151</v>
      </c>
      <c r="B391" s="21" t="s">
        <v>133</v>
      </c>
      <c r="C391" s="77">
        <v>29277.200000000001</v>
      </c>
      <c r="D391" s="77">
        <v>29112.78</v>
      </c>
      <c r="E391" s="77">
        <v>29107.71</v>
      </c>
      <c r="F391" s="77">
        <v>29089.38</v>
      </c>
      <c r="G391" s="77">
        <v>29304.25</v>
      </c>
      <c r="H391" s="77">
        <v>29265.46</v>
      </c>
      <c r="I391" s="77">
        <v>29087.11</v>
      </c>
      <c r="J391" s="77">
        <v>29111.74</v>
      </c>
      <c r="K391" s="77">
        <v>29797.54</v>
      </c>
      <c r="L391" s="24">
        <f>IF((K392=""),"",MAX(C393:K393))</f>
        <v>9780.48</v>
      </c>
      <c r="M391" s="24">
        <f>IF(K392="","",MIN(C393:K393))</f>
        <v>8485.8599999999969</v>
      </c>
      <c r="N391" s="24">
        <f>IF((K393=""),"",AVERAGE(C393:K393))</f>
        <v>8926.783333333331</v>
      </c>
      <c r="O391" s="24">
        <f>IF((K392=""),"",STDEV(C393:K393))</f>
        <v>376.44914092082206</v>
      </c>
      <c r="P391" s="24">
        <f>IF((K392=""),"",O391/N391*100)</f>
        <v>4.2170749178500895</v>
      </c>
      <c r="Q391" s="26" t="str">
        <f>IF(K392="","",IF(P391&lt;15,IF(N391&gt;9000,IF(N391&lt;15600,"Pass","Fail"),"Fail"),"Fail"))</f>
        <v>Fail</v>
      </c>
      <c r="R391" s="113">
        <v>102</v>
      </c>
      <c r="S391" s="77" t="s">
        <v>217</v>
      </c>
      <c r="T391" s="97">
        <v>9000</v>
      </c>
      <c r="U391" s="77">
        <v>8090</v>
      </c>
      <c r="V391" s="77">
        <v>12070</v>
      </c>
      <c r="W391" s="77">
        <v>6</v>
      </c>
    </row>
    <row r="392" spans="1:23">
      <c r="A392" s="107"/>
      <c r="B392" s="21" t="s">
        <v>135</v>
      </c>
      <c r="C392" s="77">
        <v>26448.58</v>
      </c>
      <c r="D392" s="77">
        <v>26174.04</v>
      </c>
      <c r="E392" s="77">
        <v>26181.23</v>
      </c>
      <c r="F392" s="77">
        <v>26107.040000000001</v>
      </c>
      <c r="G392" s="77">
        <v>26328.79</v>
      </c>
      <c r="H392" s="77">
        <v>26380.47</v>
      </c>
      <c r="I392" s="77">
        <v>26168.95</v>
      </c>
      <c r="J392" s="77">
        <v>26046.34</v>
      </c>
      <c r="K392" s="77">
        <v>26537.38</v>
      </c>
      <c r="L392" s="99"/>
      <c r="M392" s="99"/>
      <c r="N392" s="99"/>
      <c r="O392" s="99"/>
      <c r="P392" s="99"/>
      <c r="Q392" s="100"/>
      <c r="R392" s="101"/>
      <c r="T392" s="97">
        <v>9000</v>
      </c>
      <c r="U392" s="77">
        <v>8090</v>
      </c>
      <c r="V392" s="77">
        <v>12070</v>
      </c>
    </row>
    <row r="393" spans="1:23" ht="15.75" thickBot="1">
      <c r="A393" s="108"/>
      <c r="B393" s="22" t="s">
        <v>136</v>
      </c>
      <c r="C393" s="23">
        <f t="shared" ref="C393:K393" si="127">IF(((C391="")*AND(C392="")),"",(C391-C392)*3)</f>
        <v>8485.8599999999969</v>
      </c>
      <c r="D393" s="23">
        <f t="shared" si="127"/>
        <v>8816.2199999999939</v>
      </c>
      <c r="E393" s="23">
        <f t="shared" si="127"/>
        <v>8779.4399999999987</v>
      </c>
      <c r="F393" s="23">
        <f t="shared" si="127"/>
        <v>8947.02</v>
      </c>
      <c r="G393" s="23">
        <f t="shared" si="127"/>
        <v>8926.3799999999974</v>
      </c>
      <c r="H393" s="23">
        <f t="shared" si="127"/>
        <v>8654.9699999999939</v>
      </c>
      <c r="I393" s="23">
        <f t="shared" si="127"/>
        <v>8754.48</v>
      </c>
      <c r="J393" s="23">
        <f t="shared" si="127"/>
        <v>9196.2000000000044</v>
      </c>
      <c r="K393" s="23">
        <f t="shared" si="127"/>
        <v>9780.48</v>
      </c>
      <c r="L393" s="103"/>
      <c r="M393" s="103"/>
      <c r="N393" s="103"/>
      <c r="O393" s="103"/>
      <c r="P393" s="103"/>
      <c r="Q393" s="104"/>
      <c r="R393" s="105"/>
      <c r="T393" s="97">
        <v>9000</v>
      </c>
      <c r="U393" s="77">
        <v>8090</v>
      </c>
      <c r="V393" s="77">
        <v>12070</v>
      </c>
    </row>
    <row r="394" spans="1:23">
      <c r="A394" s="110">
        <v>43151</v>
      </c>
      <c r="B394" s="21" t="s">
        <v>133</v>
      </c>
      <c r="C394" s="77">
        <v>29211.83</v>
      </c>
      <c r="D394" s="77">
        <v>29081.27</v>
      </c>
      <c r="E394" s="77">
        <v>29160.77</v>
      </c>
      <c r="F394" s="77">
        <v>29114.69</v>
      </c>
      <c r="G394" s="77">
        <v>29364.65</v>
      </c>
      <c r="H394" s="77">
        <v>29261.3</v>
      </c>
      <c r="I394" s="77">
        <v>29097.42</v>
      </c>
      <c r="J394" s="77">
        <v>29093.82</v>
      </c>
      <c r="K394" s="77">
        <v>29313.96</v>
      </c>
      <c r="L394" s="24">
        <f>IF((K395=""),"",MAX(C396:K396))</f>
        <v>9084.0600000000013</v>
      </c>
      <c r="M394" s="24">
        <f>IF(K395="","",MIN(C396:K396))</f>
        <v>7986.6900000000096</v>
      </c>
      <c r="N394" s="24">
        <f>IF((K396=""),"",AVERAGE(C396:K396))</f>
        <v>8514.5266666666666</v>
      </c>
      <c r="O394" s="24">
        <f>IF((K395=""),"",STDEV(C396:K396))</f>
        <v>323.97900283046823</v>
      </c>
      <c r="P394" s="24">
        <f>IF((K395=""),"",O394/N394*100)</f>
        <v>3.8050148353966229</v>
      </c>
      <c r="Q394" s="26" t="str">
        <f>IF(K395="","",IF(P394&lt;15,IF(N394&gt;9000,IF(N394&lt;15600,"Pass","Fail"),"Fail"),"Fail"))</f>
        <v>Fail</v>
      </c>
      <c r="R394" s="113">
        <v>1159</v>
      </c>
      <c r="S394" s="77" t="s">
        <v>218</v>
      </c>
      <c r="T394" s="97">
        <v>9000</v>
      </c>
      <c r="U394" s="77">
        <v>8090</v>
      </c>
      <c r="V394" s="77">
        <v>12070</v>
      </c>
      <c r="W394" s="77">
        <v>6</v>
      </c>
    </row>
    <row r="395" spans="1:23">
      <c r="A395" s="107"/>
      <c r="B395" s="21" t="s">
        <v>135</v>
      </c>
      <c r="C395" s="77">
        <v>26549.599999999999</v>
      </c>
      <c r="D395" s="77">
        <v>26310.52</v>
      </c>
      <c r="E395" s="77">
        <v>26374.76</v>
      </c>
      <c r="F395" s="77">
        <v>26228.57</v>
      </c>
      <c r="G395" s="77">
        <v>26446.9</v>
      </c>
      <c r="H395" s="77">
        <v>26489.29</v>
      </c>
      <c r="I395" s="77">
        <v>26287.29</v>
      </c>
      <c r="J395" s="77">
        <v>26183.26</v>
      </c>
      <c r="K395" s="77">
        <v>26285.94</v>
      </c>
      <c r="L395" s="99"/>
      <c r="M395" s="99"/>
      <c r="N395" s="99"/>
      <c r="O395" s="99"/>
      <c r="P395" s="99"/>
      <c r="Q395" s="100"/>
      <c r="R395" s="101"/>
      <c r="T395" s="97">
        <v>9000</v>
      </c>
      <c r="U395" s="77">
        <v>8090</v>
      </c>
      <c r="V395" s="77">
        <v>12070</v>
      </c>
    </row>
    <row r="396" spans="1:23" ht="15.75" thickBot="1">
      <c r="A396" s="108"/>
      <c r="B396" s="22" t="s">
        <v>136</v>
      </c>
      <c r="C396" s="23">
        <f t="shared" ref="C396:K396" si="128">IF(((C394="")*AND(C395="")),"",(C394-C395)*3)</f>
        <v>7986.6900000000096</v>
      </c>
      <c r="D396" s="23">
        <f t="shared" si="128"/>
        <v>8312.25</v>
      </c>
      <c r="E396" s="23">
        <f t="shared" si="128"/>
        <v>8358.0300000000061</v>
      </c>
      <c r="F396" s="23">
        <f t="shared" si="128"/>
        <v>8658.3599999999969</v>
      </c>
      <c r="G396" s="23">
        <f t="shared" si="128"/>
        <v>8753.25</v>
      </c>
      <c r="H396" s="23">
        <f t="shared" si="128"/>
        <v>8316.0299999999952</v>
      </c>
      <c r="I396" s="23">
        <f t="shared" si="128"/>
        <v>8430.3899999999921</v>
      </c>
      <c r="J396" s="23">
        <f t="shared" si="128"/>
        <v>8731.6800000000039</v>
      </c>
      <c r="K396" s="23">
        <f t="shared" si="128"/>
        <v>9084.0600000000013</v>
      </c>
      <c r="L396" s="103"/>
      <c r="M396" s="103"/>
      <c r="N396" s="103"/>
      <c r="O396" s="103"/>
      <c r="P396" s="103"/>
      <c r="Q396" s="104"/>
      <c r="R396" s="105"/>
      <c r="T396" s="97">
        <v>9000</v>
      </c>
      <c r="U396" s="77">
        <v>8090</v>
      </c>
      <c r="V396" s="77">
        <v>12070</v>
      </c>
    </row>
    <row r="397" spans="1:23">
      <c r="A397" s="110">
        <v>43153</v>
      </c>
      <c r="B397" s="21" t="s">
        <v>133</v>
      </c>
      <c r="C397" s="77">
        <v>29238.73</v>
      </c>
      <c r="D397" s="77">
        <v>29068.11</v>
      </c>
      <c r="E397" s="77">
        <v>29067.5</v>
      </c>
      <c r="F397" s="77">
        <v>29080.89</v>
      </c>
      <c r="G397" s="77">
        <v>29328.47</v>
      </c>
      <c r="H397" s="77">
        <v>29236.38</v>
      </c>
      <c r="I397" s="77">
        <v>29060.82</v>
      </c>
      <c r="J397" s="77">
        <v>29059.17</v>
      </c>
      <c r="K397" s="77">
        <v>29282.81</v>
      </c>
      <c r="L397" s="24">
        <f>IF((K398=""),"",MAX(C399:K399))</f>
        <v>11121</v>
      </c>
      <c r="M397" s="24">
        <f>IF(K398="","",MIN(C399:K399))</f>
        <v>10268.430000000004</v>
      </c>
      <c r="N397" s="24">
        <f>IF((K399=""),"",AVERAGE(C399:K399))</f>
        <v>10758.750000000002</v>
      </c>
      <c r="O397" s="24">
        <f>IF((K398=""),"",STDEV(C399:K399))</f>
        <v>265.05020373508086</v>
      </c>
      <c r="P397" s="24">
        <f>IF((K398=""),"",O397/N397*100)</f>
        <v>2.4635780526090931</v>
      </c>
      <c r="Q397" s="26" t="str">
        <f>IF(K398="","",IF(P397&lt;15,IF(N397&gt;9000,IF(N397&lt;15600,"Pass","Fail"),"Fail"),"Fail"))</f>
        <v>Pass</v>
      </c>
      <c r="R397" s="113">
        <v>102</v>
      </c>
      <c r="S397" s="77" t="s">
        <v>219</v>
      </c>
      <c r="T397" s="97">
        <v>9000</v>
      </c>
      <c r="U397" s="77">
        <v>8090</v>
      </c>
      <c r="V397" s="77">
        <v>12070</v>
      </c>
      <c r="W397" s="77">
        <v>6</v>
      </c>
    </row>
    <row r="398" spans="1:23">
      <c r="A398" s="107"/>
      <c r="B398" s="21" t="s">
        <v>135</v>
      </c>
      <c r="C398" s="77">
        <v>25815.919999999998</v>
      </c>
      <c r="D398" s="77">
        <v>25517.89</v>
      </c>
      <c r="E398" s="77">
        <v>25524.560000000001</v>
      </c>
      <c r="F398" s="77">
        <v>25430.82</v>
      </c>
      <c r="G398" s="77">
        <v>25650.78</v>
      </c>
      <c r="H398" s="77">
        <v>25714.48</v>
      </c>
      <c r="I398" s="77">
        <v>25480.45</v>
      </c>
      <c r="J398" s="77">
        <v>25435.919999999998</v>
      </c>
      <c r="K398" s="77">
        <v>25575.81</v>
      </c>
      <c r="L398" s="99"/>
      <c r="M398" s="99"/>
      <c r="N398" s="99"/>
      <c r="O398" s="99"/>
      <c r="P398" s="99"/>
      <c r="Q398" s="100"/>
      <c r="R398" s="101"/>
      <c r="T398" s="97">
        <v>9000</v>
      </c>
      <c r="U398" s="77">
        <v>8090</v>
      </c>
      <c r="V398" s="77">
        <v>12070</v>
      </c>
    </row>
    <row r="399" spans="1:23" ht="15.75" thickBot="1">
      <c r="A399" s="108"/>
      <c r="B399" s="22" t="s">
        <v>136</v>
      </c>
      <c r="C399" s="23">
        <f t="shared" ref="C399:K399" si="129">IF(((C397="")*AND(C398="")),"",(C397-C398)*3)</f>
        <v>10268.430000000004</v>
      </c>
      <c r="D399" s="23">
        <f t="shared" si="129"/>
        <v>10650.660000000003</v>
      </c>
      <c r="E399" s="23">
        <f t="shared" si="129"/>
        <v>10628.819999999996</v>
      </c>
      <c r="F399" s="23">
        <f t="shared" si="129"/>
        <v>10950.21</v>
      </c>
      <c r="G399" s="23">
        <f t="shared" si="129"/>
        <v>11033.070000000007</v>
      </c>
      <c r="H399" s="23">
        <f t="shared" si="129"/>
        <v>10565.700000000004</v>
      </c>
      <c r="I399" s="23">
        <f t="shared" si="129"/>
        <v>10741.109999999997</v>
      </c>
      <c r="J399" s="23">
        <f t="shared" si="129"/>
        <v>10869.75</v>
      </c>
      <c r="K399" s="23">
        <f t="shared" si="129"/>
        <v>11121</v>
      </c>
      <c r="L399" s="103"/>
      <c r="M399" s="103"/>
      <c r="N399" s="103"/>
      <c r="O399" s="103"/>
      <c r="P399" s="103"/>
      <c r="Q399" s="104"/>
      <c r="R399" s="105"/>
      <c r="T399" s="97">
        <v>9000</v>
      </c>
      <c r="U399" s="77">
        <v>8090</v>
      </c>
      <c r="V399" s="77">
        <v>12070</v>
      </c>
    </row>
    <row r="400" spans="1:23">
      <c r="A400" s="110">
        <v>43159</v>
      </c>
      <c r="B400" s="21" t="s">
        <v>133</v>
      </c>
      <c r="C400" s="77">
        <v>29180.36</v>
      </c>
      <c r="D400" s="77">
        <v>29063.23</v>
      </c>
      <c r="E400" s="77">
        <v>29122.1</v>
      </c>
      <c r="F400" s="77">
        <v>29071.75</v>
      </c>
      <c r="G400" s="77">
        <v>29270.959999999999</v>
      </c>
      <c r="H400" s="77">
        <v>29198.32</v>
      </c>
      <c r="I400" s="77">
        <v>29055.9</v>
      </c>
      <c r="J400" s="77">
        <v>29054.31</v>
      </c>
      <c r="K400" s="77">
        <v>29269.72</v>
      </c>
      <c r="L400" s="24">
        <f>IF((K401=""),"",MAX(C402:K402))</f>
        <v>9142.9199999999983</v>
      </c>
      <c r="M400" s="24">
        <f>IF(K401="","",MIN(C402:K402))</f>
        <v>8205.3000000000065</v>
      </c>
      <c r="N400" s="24">
        <f>IF((K402=""),"",AVERAGE(C402:K402))</f>
        <v>8726.5833333333339</v>
      </c>
      <c r="O400" s="24">
        <f>IF((K401=""),"",STDEV(C402:K402))</f>
        <v>300.19534943927249</v>
      </c>
      <c r="P400" s="24">
        <f>IF((K401=""),"",O400/N400*100)</f>
        <v>3.4400101159018606</v>
      </c>
      <c r="Q400" s="26" t="str">
        <f>IF(K401="","",IF(P400&lt;15,IF(N400&gt;9000,IF(N400&lt;15600,"Pass","Fail"),"Fail"),"Fail"))</f>
        <v>Fail</v>
      </c>
      <c r="R400" s="113">
        <v>1159</v>
      </c>
      <c r="T400" s="97">
        <v>9000</v>
      </c>
      <c r="U400" s="77">
        <v>8090</v>
      </c>
      <c r="V400" s="77">
        <v>12070</v>
      </c>
      <c r="W400" s="77">
        <v>6</v>
      </c>
    </row>
    <row r="401" spans="1:23">
      <c r="A401" s="107"/>
      <c r="B401" s="21" t="s">
        <v>135</v>
      </c>
      <c r="C401" s="77">
        <v>26445.26</v>
      </c>
      <c r="D401" s="77">
        <v>26218.15</v>
      </c>
      <c r="E401" s="77">
        <v>26283.24</v>
      </c>
      <c r="F401" s="77">
        <v>26083.86</v>
      </c>
      <c r="G401" s="77">
        <v>26261.84</v>
      </c>
      <c r="H401" s="77">
        <v>26335.29</v>
      </c>
      <c r="I401" s="77">
        <v>26165.87</v>
      </c>
      <c r="J401" s="77">
        <v>26091.31</v>
      </c>
      <c r="K401" s="77">
        <v>26222.080000000002</v>
      </c>
      <c r="L401" s="99"/>
      <c r="M401" s="99"/>
      <c r="N401" s="99"/>
      <c r="O401" s="99"/>
      <c r="P401" s="99"/>
      <c r="Q401" s="100"/>
      <c r="R401" s="101"/>
      <c r="T401" s="97">
        <v>9000</v>
      </c>
      <c r="U401" s="77">
        <v>8090</v>
      </c>
      <c r="V401" s="77">
        <v>12070</v>
      </c>
    </row>
    <row r="402" spans="1:23" ht="15.75" thickBot="1">
      <c r="A402" s="108"/>
      <c r="B402" s="22" t="s">
        <v>136</v>
      </c>
      <c r="C402" s="23">
        <f t="shared" ref="C402:K402" si="130">IF(((C400="")*AND(C401="")),"",(C400-C401)*3)</f>
        <v>8205.3000000000065</v>
      </c>
      <c r="D402" s="23">
        <f t="shared" si="130"/>
        <v>8535.2399999999943</v>
      </c>
      <c r="E402" s="23">
        <f t="shared" si="130"/>
        <v>8516.5799999999908</v>
      </c>
      <c r="F402" s="23">
        <f t="shared" si="130"/>
        <v>8963.6699999999983</v>
      </c>
      <c r="G402" s="23">
        <f t="shared" si="130"/>
        <v>9027.3599999999969</v>
      </c>
      <c r="H402" s="23">
        <f t="shared" si="130"/>
        <v>8589.0899999999965</v>
      </c>
      <c r="I402" s="23">
        <f t="shared" si="130"/>
        <v>8670.0900000000074</v>
      </c>
      <c r="J402" s="23">
        <f t="shared" si="130"/>
        <v>8889</v>
      </c>
      <c r="K402" s="23">
        <f t="shared" si="130"/>
        <v>9142.9199999999983</v>
      </c>
      <c r="L402" s="103"/>
      <c r="M402" s="103"/>
      <c r="N402" s="103"/>
      <c r="O402" s="103"/>
      <c r="P402" s="103"/>
      <c r="Q402" s="104"/>
      <c r="R402" s="105"/>
      <c r="T402" s="97">
        <v>9000</v>
      </c>
      <c r="U402" s="77">
        <v>8090</v>
      </c>
      <c r="V402" s="77">
        <v>12070</v>
      </c>
    </row>
    <row r="403" spans="1:23">
      <c r="A403" s="110">
        <v>43159</v>
      </c>
      <c r="B403" s="21" t="s">
        <v>133</v>
      </c>
      <c r="C403" s="77">
        <v>29140.639999999999</v>
      </c>
      <c r="D403" s="77">
        <v>28984.35</v>
      </c>
      <c r="E403" s="77">
        <v>29035.94</v>
      </c>
      <c r="F403" s="77">
        <v>28973.8</v>
      </c>
      <c r="G403" s="77">
        <v>29212.04</v>
      </c>
      <c r="H403" s="77">
        <v>29140.42</v>
      </c>
      <c r="I403" s="77">
        <v>28974.07</v>
      </c>
      <c r="J403" s="77">
        <v>28985.55</v>
      </c>
      <c r="K403" s="77">
        <v>29198.34</v>
      </c>
      <c r="L403" s="24">
        <f>IF((K404=""),"",MAX(C405:K405))</f>
        <v>9269.9100000000035</v>
      </c>
      <c r="M403" s="24">
        <f>IF(K404="","",MIN(C405:K405))</f>
        <v>8239.8300000000017</v>
      </c>
      <c r="N403" s="24">
        <f>IF((K405=""),"",AVERAGE(C405:K405))</f>
        <v>8841.2733333333308</v>
      </c>
      <c r="O403" s="24">
        <f>IF((K404=""),"",STDEV(C405:K405))</f>
        <v>302.68937881926547</v>
      </c>
      <c r="P403" s="24">
        <f>IF((K404=""),"",O403/N403*100)</f>
        <v>3.4235948534479448</v>
      </c>
      <c r="Q403" s="26" t="str">
        <f>IF(K404="","",IF(P403&lt;15,IF(N403&gt;9000,IF(N403&lt;15600,"Pass","Fail"),"Fail"),"Fail"))</f>
        <v>Fail</v>
      </c>
      <c r="R403" s="113">
        <v>1159</v>
      </c>
      <c r="S403" s="77" t="s">
        <v>220</v>
      </c>
      <c r="T403" s="97">
        <v>9000</v>
      </c>
      <c r="U403" s="77">
        <v>8090</v>
      </c>
      <c r="V403" s="77">
        <v>12070</v>
      </c>
      <c r="W403" s="77">
        <v>6</v>
      </c>
    </row>
    <row r="404" spans="1:23">
      <c r="A404" s="107"/>
      <c r="B404" s="21" t="s">
        <v>135</v>
      </c>
      <c r="C404" s="77">
        <v>26394.03</v>
      </c>
      <c r="D404" s="77">
        <v>26100.83</v>
      </c>
      <c r="E404" s="77">
        <v>26123.87</v>
      </c>
      <c r="F404" s="77">
        <v>25952.880000000001</v>
      </c>
      <c r="G404" s="77">
        <v>26207.06</v>
      </c>
      <c r="H404" s="77">
        <v>26236.04</v>
      </c>
      <c r="I404" s="77">
        <v>26030.01</v>
      </c>
      <c r="J404" s="77">
        <v>25968.240000000002</v>
      </c>
      <c r="K404" s="77">
        <v>26108.37</v>
      </c>
      <c r="L404" s="99"/>
      <c r="M404" s="99"/>
      <c r="N404" s="99"/>
      <c r="O404" s="99"/>
      <c r="P404" s="99"/>
      <c r="Q404" s="100"/>
      <c r="R404" s="101"/>
      <c r="T404" s="97">
        <v>9000</v>
      </c>
      <c r="U404" s="77">
        <v>8090</v>
      </c>
      <c r="V404" s="77">
        <v>12070</v>
      </c>
    </row>
    <row r="405" spans="1:23" ht="15.75" thickBot="1">
      <c r="A405" s="108"/>
      <c r="B405" s="22" t="s">
        <v>136</v>
      </c>
      <c r="C405" s="23">
        <f t="shared" ref="C405:K405" si="131">IF(((C403="")*AND(C404="")),"",(C403-C404)*3)</f>
        <v>8239.8300000000017</v>
      </c>
      <c r="D405" s="23">
        <f t="shared" si="131"/>
        <v>8650.5599999999904</v>
      </c>
      <c r="E405" s="23">
        <f t="shared" si="131"/>
        <v>8736.2099999999991</v>
      </c>
      <c r="F405" s="23">
        <f t="shared" si="131"/>
        <v>9062.7599999999948</v>
      </c>
      <c r="G405" s="23">
        <f t="shared" si="131"/>
        <v>9014.9399999999987</v>
      </c>
      <c r="H405" s="23">
        <f t="shared" si="131"/>
        <v>8713.1399999999921</v>
      </c>
      <c r="I405" s="23">
        <f t="shared" si="131"/>
        <v>8832.1800000000039</v>
      </c>
      <c r="J405" s="23">
        <f t="shared" si="131"/>
        <v>9051.929999999993</v>
      </c>
      <c r="K405" s="23">
        <f t="shared" si="131"/>
        <v>9269.9100000000035</v>
      </c>
      <c r="L405" s="103"/>
      <c r="M405" s="103"/>
      <c r="N405" s="103"/>
      <c r="O405" s="103"/>
      <c r="P405" s="103"/>
      <c r="Q405" s="104"/>
      <c r="R405" s="105"/>
      <c r="T405" s="97">
        <v>9000</v>
      </c>
      <c r="U405" s="77">
        <v>8090</v>
      </c>
      <c r="V405" s="77">
        <v>12070</v>
      </c>
    </row>
    <row r="406" spans="1:23">
      <c r="A406" s="110">
        <v>43159</v>
      </c>
      <c r="B406" s="21" t="s">
        <v>133</v>
      </c>
      <c r="C406" s="77">
        <v>29187.22</v>
      </c>
      <c r="D406" s="77">
        <v>29011.74</v>
      </c>
      <c r="E406" s="77">
        <v>28990.19</v>
      </c>
      <c r="F406" s="77">
        <v>28974.33</v>
      </c>
      <c r="G406" s="77">
        <v>29185.119999999999</v>
      </c>
      <c r="H406" s="77">
        <v>29166.28</v>
      </c>
      <c r="I406" s="77">
        <v>28972.7</v>
      </c>
      <c r="J406" s="77">
        <v>28991.91</v>
      </c>
      <c r="K406" s="77">
        <v>29233.37</v>
      </c>
      <c r="L406" s="24">
        <f>IF((K407=""),"",MAX(C408:K408))</f>
        <v>11127.719999999994</v>
      </c>
      <c r="M406" s="24">
        <f>IF(K407="","",MIN(C408:K408))</f>
        <v>10372.98</v>
      </c>
      <c r="N406" s="24">
        <f>IF((K408=""),"",AVERAGE(C408:K408))</f>
        <v>10850.246666666666</v>
      </c>
      <c r="O406" s="24">
        <f>IF((K407=""),"",STDEV(C408:K408))</f>
        <v>233.2896725639695</v>
      </c>
      <c r="P406" s="24">
        <f>IF((K407=""),"",O406/N406*100)</f>
        <v>2.1500863503929821</v>
      </c>
      <c r="Q406" s="26" t="str">
        <f>IF(K407="","",IF(P406&lt;15,IF(N406&gt;9000,IF(N406&lt;15600,"Pass","Fail"),"Fail"),"Fail"))</f>
        <v>Pass</v>
      </c>
      <c r="R406" s="113">
        <v>121</v>
      </c>
      <c r="S406" s="77" t="s">
        <v>221</v>
      </c>
      <c r="T406" s="97">
        <v>9000</v>
      </c>
      <c r="U406" s="77">
        <v>8090</v>
      </c>
      <c r="V406" s="77">
        <v>12070</v>
      </c>
      <c r="W406" s="77">
        <v>6</v>
      </c>
    </row>
    <row r="407" spans="1:23">
      <c r="A407" s="107"/>
      <c r="B407" s="21" t="s">
        <v>135</v>
      </c>
      <c r="C407" s="77">
        <v>25729.56</v>
      </c>
      <c r="D407" s="77">
        <v>25391.55</v>
      </c>
      <c r="E407" s="77">
        <v>25367.1</v>
      </c>
      <c r="F407" s="77">
        <v>25297.98</v>
      </c>
      <c r="G407" s="77">
        <v>25557.75</v>
      </c>
      <c r="H407" s="77">
        <v>25633.38</v>
      </c>
      <c r="I407" s="77">
        <v>25346.07</v>
      </c>
      <c r="J407" s="77">
        <v>25314.6</v>
      </c>
      <c r="K407" s="77">
        <v>25524.13</v>
      </c>
      <c r="L407" s="99"/>
      <c r="M407" s="99"/>
      <c r="N407" s="99"/>
      <c r="O407" s="99"/>
      <c r="P407" s="99"/>
      <c r="Q407" s="100"/>
      <c r="R407" s="101"/>
      <c r="T407" s="97">
        <v>9000</v>
      </c>
      <c r="U407" s="77">
        <v>8090</v>
      </c>
      <c r="V407" s="77">
        <v>12070</v>
      </c>
    </row>
    <row r="408" spans="1:23" ht="15.75" thickBot="1">
      <c r="A408" s="108"/>
      <c r="B408" s="22" t="s">
        <v>136</v>
      </c>
      <c r="C408" s="23">
        <f t="shared" ref="C408:K408" si="132">IF(((C406="")*AND(C407="")),"",(C406-C407)*3)</f>
        <v>10372.98</v>
      </c>
      <c r="D408" s="23">
        <f t="shared" si="132"/>
        <v>10860.570000000007</v>
      </c>
      <c r="E408" s="23">
        <f t="shared" si="132"/>
        <v>10869.27</v>
      </c>
      <c r="F408" s="23">
        <f t="shared" si="132"/>
        <v>11029.050000000007</v>
      </c>
      <c r="G408" s="23">
        <f t="shared" si="132"/>
        <v>10882.109999999997</v>
      </c>
      <c r="H408" s="23">
        <f t="shared" si="132"/>
        <v>10598.699999999993</v>
      </c>
      <c r="I408" s="23">
        <f t="shared" si="132"/>
        <v>10879.890000000003</v>
      </c>
      <c r="J408" s="23">
        <f t="shared" si="132"/>
        <v>11031.930000000004</v>
      </c>
      <c r="K408" s="23">
        <f t="shared" si="132"/>
        <v>11127.719999999994</v>
      </c>
      <c r="L408" s="103"/>
      <c r="M408" s="103"/>
      <c r="N408" s="103"/>
      <c r="O408" s="103"/>
      <c r="P408" s="103"/>
      <c r="Q408" s="104"/>
      <c r="R408" s="105"/>
      <c r="T408" s="97">
        <v>9000</v>
      </c>
      <c r="U408" s="77">
        <v>8090</v>
      </c>
      <c r="V408" s="77">
        <v>12070</v>
      </c>
    </row>
    <row r="409" spans="1:23">
      <c r="A409" s="110">
        <v>43167</v>
      </c>
      <c r="B409" s="21" t="s">
        <v>133</v>
      </c>
      <c r="C409" s="77">
        <v>29005.07</v>
      </c>
      <c r="D409" s="77">
        <v>28860.52</v>
      </c>
      <c r="E409" s="77">
        <v>28930.01</v>
      </c>
      <c r="F409" s="77">
        <v>28887.22</v>
      </c>
      <c r="G409" s="77">
        <v>29152.22</v>
      </c>
      <c r="H409" s="77">
        <v>29014.880000000001</v>
      </c>
      <c r="I409" s="77">
        <v>28857.39</v>
      </c>
      <c r="J409" s="77">
        <v>28870.92</v>
      </c>
      <c r="K409" s="77">
        <v>29108.38</v>
      </c>
      <c r="L409" s="24">
        <f>IF((K410=""),"",MAX(C411:K411))</f>
        <v>8475.1500000000087</v>
      </c>
      <c r="M409" s="24">
        <f>IF(K410="","",MIN(C411:K411))</f>
        <v>7480.6800000000039</v>
      </c>
      <c r="N409" s="24">
        <f>IF((K411=""),"",AVERAGE(C411:K411))</f>
        <v>8141.8966666666693</v>
      </c>
      <c r="O409" s="24">
        <f>IF((K410=""),"",STDEV(C411:K411))</f>
        <v>306.32934449703947</v>
      </c>
      <c r="P409" s="24">
        <f>IF((K410=""),"",O409/N409*100)</f>
        <v>3.7623831035729931</v>
      </c>
      <c r="Q409" s="26" t="str">
        <f>IF(K410="","",IF(P409&lt;15,IF(N409&gt;9000,IF(N409&lt;15600,"Pass","Fail"),"Fail"),"Fail"))</f>
        <v>Fail</v>
      </c>
      <c r="R409" s="113">
        <v>102</v>
      </c>
      <c r="T409" s="97">
        <v>9000</v>
      </c>
      <c r="U409" s="77">
        <v>8090</v>
      </c>
      <c r="V409" s="77">
        <v>12070</v>
      </c>
      <c r="W409" s="77">
        <v>6</v>
      </c>
    </row>
    <row r="410" spans="1:23">
      <c r="A410" s="107"/>
      <c r="B410" s="21" t="s">
        <v>135</v>
      </c>
      <c r="C410" s="77">
        <v>26511.51</v>
      </c>
      <c r="D410" s="77">
        <v>26213.57</v>
      </c>
      <c r="E410" s="77">
        <v>26245.85</v>
      </c>
      <c r="F410" s="77">
        <v>26073.67</v>
      </c>
      <c r="G410" s="77">
        <v>26327.17</v>
      </c>
      <c r="H410" s="77">
        <v>26227.65</v>
      </c>
      <c r="I410" s="77">
        <v>26102.17</v>
      </c>
      <c r="J410" s="77">
        <v>26167.83</v>
      </c>
      <c r="K410" s="77">
        <v>26391.5</v>
      </c>
      <c r="L410" s="99"/>
      <c r="M410" s="99"/>
      <c r="N410" s="99"/>
      <c r="O410" s="99"/>
      <c r="P410" s="99"/>
      <c r="Q410" s="100"/>
      <c r="R410" s="101"/>
      <c r="T410" s="97">
        <v>9000</v>
      </c>
      <c r="U410" s="77">
        <v>8090</v>
      </c>
      <c r="V410" s="77">
        <v>12070</v>
      </c>
    </row>
    <row r="411" spans="1:23" ht="15.75" thickBot="1">
      <c r="A411" s="108"/>
      <c r="B411" s="22" t="s">
        <v>136</v>
      </c>
      <c r="C411" s="23">
        <f t="shared" ref="C411:K411" si="133">IF(((C409="")*AND(C410="")),"",(C409-C410)*3)</f>
        <v>7480.6800000000039</v>
      </c>
      <c r="D411" s="23">
        <f t="shared" si="133"/>
        <v>7940.8500000000022</v>
      </c>
      <c r="E411" s="23">
        <f t="shared" si="133"/>
        <v>8052.48</v>
      </c>
      <c r="F411" s="23">
        <f t="shared" si="133"/>
        <v>8440.6500000000087</v>
      </c>
      <c r="G411" s="23">
        <f t="shared" si="133"/>
        <v>8475.1500000000087</v>
      </c>
      <c r="H411" s="23">
        <f t="shared" si="133"/>
        <v>8361.6899999999987</v>
      </c>
      <c r="I411" s="23">
        <f t="shared" si="133"/>
        <v>8265.6600000000035</v>
      </c>
      <c r="J411" s="23">
        <f t="shared" si="133"/>
        <v>8109.2699999999895</v>
      </c>
      <c r="K411" s="23">
        <f t="shared" si="133"/>
        <v>8150.6400000000031</v>
      </c>
      <c r="L411" s="103"/>
      <c r="M411" s="103"/>
      <c r="N411" s="103"/>
      <c r="O411" s="103"/>
      <c r="P411" s="103"/>
      <c r="Q411" s="104"/>
      <c r="R411" s="105"/>
      <c r="T411" s="97">
        <v>9000</v>
      </c>
      <c r="U411" s="77">
        <v>8090</v>
      </c>
      <c r="V411" s="77">
        <v>12070</v>
      </c>
    </row>
    <row r="412" spans="1:23">
      <c r="A412" s="110">
        <v>43167</v>
      </c>
      <c r="B412" s="21" t="s">
        <v>133</v>
      </c>
      <c r="C412" s="77">
        <v>29021.52</v>
      </c>
      <c r="D412" s="77">
        <v>28852.79</v>
      </c>
      <c r="E412" s="77">
        <v>28851.55</v>
      </c>
      <c r="F412" s="77">
        <v>28871.62</v>
      </c>
      <c r="G412" s="77">
        <v>29096.33</v>
      </c>
      <c r="H412" s="77">
        <v>29029.69</v>
      </c>
      <c r="I412" s="77">
        <v>28851.33</v>
      </c>
      <c r="J412" s="77">
        <v>28852.62</v>
      </c>
      <c r="K412" s="77">
        <v>29104.05</v>
      </c>
      <c r="L412" s="24">
        <f>IF((K413=""),"",MAX(C414:K414))</f>
        <v>8547.5400000000009</v>
      </c>
      <c r="M412" s="24">
        <f>IF(K413="","",MIN(C414:K414))</f>
        <v>7507.2900000000009</v>
      </c>
      <c r="N412" s="24">
        <f>IF((K414=""),"",AVERAGE(C414:K414))</f>
        <v>8195.3466666666664</v>
      </c>
      <c r="O412" s="24">
        <f>IF((K413=""),"",STDEV(C414:K414))</f>
        <v>334.89759793106128</v>
      </c>
      <c r="P412" s="24">
        <f>IF((K413=""),"",O412/N412*100)</f>
        <v>4.0864360173219598</v>
      </c>
      <c r="Q412" s="26" t="str">
        <f>IF(K413="","",IF(P412&lt;15,IF(N412&gt;9000,IF(N412&lt;15600,"Pass","Fail"),"Fail"),"Fail"))</f>
        <v>Fail</v>
      </c>
      <c r="R412" s="113">
        <v>102</v>
      </c>
      <c r="S412" s="77" t="s">
        <v>222</v>
      </c>
      <c r="T412" s="97">
        <v>9000</v>
      </c>
      <c r="U412" s="77">
        <v>8090</v>
      </c>
      <c r="V412" s="77">
        <v>12070</v>
      </c>
      <c r="W412" s="77">
        <v>6</v>
      </c>
    </row>
    <row r="413" spans="1:23">
      <c r="A413" s="107"/>
      <c r="B413" s="21" t="s">
        <v>135</v>
      </c>
      <c r="C413" s="77">
        <v>26519.09</v>
      </c>
      <c r="D413" s="77">
        <v>26200.63</v>
      </c>
      <c r="E413" s="77">
        <v>26165.83</v>
      </c>
      <c r="F413" s="77">
        <v>26037.13</v>
      </c>
      <c r="G413" s="77">
        <v>26259.19</v>
      </c>
      <c r="H413" s="77">
        <v>26323.18</v>
      </c>
      <c r="I413" s="77">
        <v>26115.11</v>
      </c>
      <c r="J413" s="77">
        <v>26070.43</v>
      </c>
      <c r="K413" s="77">
        <v>26254.87</v>
      </c>
      <c r="L413" s="99"/>
      <c r="M413" s="99"/>
      <c r="N413" s="99"/>
      <c r="O413" s="99"/>
      <c r="P413" s="99"/>
      <c r="Q413" s="100"/>
      <c r="R413" s="101"/>
      <c r="T413" s="97">
        <v>9000</v>
      </c>
      <c r="U413" s="77">
        <v>8090</v>
      </c>
      <c r="V413" s="77">
        <v>12070</v>
      </c>
    </row>
    <row r="414" spans="1:23" ht="15.75" thickBot="1">
      <c r="A414" s="108"/>
      <c r="B414" s="22" t="s">
        <v>136</v>
      </c>
      <c r="C414" s="23">
        <f t="shared" ref="C414:K414" si="134">IF(((C412="")*AND(C413="")),"",(C412-C413)*3)</f>
        <v>7507.2900000000009</v>
      </c>
      <c r="D414" s="23">
        <f t="shared" si="134"/>
        <v>7956.48</v>
      </c>
      <c r="E414" s="23">
        <f t="shared" si="134"/>
        <v>8057.1599999999926</v>
      </c>
      <c r="F414" s="23">
        <f t="shared" si="134"/>
        <v>8503.4699999999939</v>
      </c>
      <c r="G414" s="23">
        <f t="shared" si="134"/>
        <v>8511.4200000000092</v>
      </c>
      <c r="H414" s="23">
        <f t="shared" si="134"/>
        <v>8119.5299999999952</v>
      </c>
      <c r="I414" s="23">
        <f t="shared" si="134"/>
        <v>8208.6600000000035</v>
      </c>
      <c r="J414" s="23">
        <f t="shared" si="134"/>
        <v>8346.5699999999961</v>
      </c>
      <c r="K414" s="23">
        <f t="shared" si="134"/>
        <v>8547.5400000000009</v>
      </c>
      <c r="L414" s="103"/>
      <c r="M414" s="103"/>
      <c r="N414" s="103"/>
      <c r="O414" s="103"/>
      <c r="P414" s="103"/>
      <c r="Q414" s="104"/>
      <c r="R414" s="105"/>
      <c r="T414" s="97">
        <v>9000</v>
      </c>
      <c r="U414" s="77">
        <v>8090</v>
      </c>
      <c r="V414" s="77">
        <v>12070</v>
      </c>
    </row>
    <row r="415" spans="1:23">
      <c r="A415" s="110">
        <v>43167</v>
      </c>
      <c r="B415" s="21" t="s">
        <v>133</v>
      </c>
      <c r="C415" s="77">
        <v>29433.93</v>
      </c>
      <c r="D415" s="77">
        <v>29226.09</v>
      </c>
      <c r="E415" s="77">
        <v>29261.46</v>
      </c>
      <c r="F415" s="77">
        <v>29203.84</v>
      </c>
      <c r="G415" s="77">
        <v>29421.14</v>
      </c>
      <c r="H415" s="77">
        <v>29357.87</v>
      </c>
      <c r="I415" s="77">
        <v>29196.35</v>
      </c>
      <c r="J415" s="77">
        <v>29200.54</v>
      </c>
      <c r="K415" s="77">
        <v>29407.439999999999</v>
      </c>
      <c r="L415" s="24">
        <f>IF((K416=""),"",MAX(C417:K417))</f>
        <v>9447.7799999999952</v>
      </c>
      <c r="M415" s="24">
        <f>IF(K416="","",MIN(C417:K417))</f>
        <v>8621.8199999999961</v>
      </c>
      <c r="N415" s="24">
        <f>IF((K417=""),"",AVERAGE(C417:K417))</f>
        <v>9203.0799999999963</v>
      </c>
      <c r="O415" s="24">
        <f>IF((K416=""),"",STDEV(C417:K417))</f>
        <v>263.19440011141461</v>
      </c>
      <c r="P415" s="24">
        <f>IF((K416=""),"",O415/N415*100)</f>
        <v>2.8598512683950883</v>
      </c>
      <c r="Q415" s="26" t="str">
        <f>IF(K416="","",IF(P415&lt;15,IF(N415&gt;9000,IF(N415&lt;15600,"Pass","Fail"),"Fail"),"Fail"))</f>
        <v>Pass</v>
      </c>
      <c r="R415" s="113">
        <v>121</v>
      </c>
      <c r="T415" s="97">
        <v>9000</v>
      </c>
      <c r="U415" s="77">
        <v>8090</v>
      </c>
      <c r="V415" s="77">
        <v>12070</v>
      </c>
      <c r="W415" s="77">
        <v>6</v>
      </c>
    </row>
    <row r="416" spans="1:23">
      <c r="A416" s="107"/>
      <c r="B416" s="21" t="s">
        <v>135</v>
      </c>
      <c r="C416" s="77">
        <v>26559.99</v>
      </c>
      <c r="D416" s="77">
        <v>26198.59</v>
      </c>
      <c r="E416" s="77">
        <v>26242.31</v>
      </c>
      <c r="F416" s="77">
        <v>26057</v>
      </c>
      <c r="G416" s="77">
        <v>26281.47</v>
      </c>
      <c r="H416" s="77">
        <v>26296.720000000001</v>
      </c>
      <c r="I416" s="77">
        <v>26113.41</v>
      </c>
      <c r="J416" s="77">
        <v>26091.75</v>
      </c>
      <c r="K416" s="77">
        <v>26258.18</v>
      </c>
      <c r="L416" s="99"/>
      <c r="M416" s="99"/>
      <c r="N416" s="99"/>
      <c r="O416" s="99"/>
      <c r="P416" s="99"/>
      <c r="Q416" s="100"/>
      <c r="R416" s="101"/>
      <c r="T416" s="97">
        <v>9000</v>
      </c>
      <c r="U416" s="77">
        <v>8090</v>
      </c>
      <c r="V416" s="77">
        <v>12070</v>
      </c>
    </row>
    <row r="417" spans="1:23" ht="15.75" thickBot="1">
      <c r="A417" s="108"/>
      <c r="B417" s="22" t="s">
        <v>136</v>
      </c>
      <c r="C417" s="23">
        <f t="shared" ref="C417:K417" si="135">IF(((C415="")*AND(C416="")),"",(C415-C416)*3)</f>
        <v>8621.8199999999961</v>
      </c>
      <c r="D417" s="23">
        <f t="shared" si="135"/>
        <v>9082.5</v>
      </c>
      <c r="E417" s="23">
        <f t="shared" si="135"/>
        <v>9057.4499999999935</v>
      </c>
      <c r="F417" s="23">
        <f t="shared" si="135"/>
        <v>9440.52</v>
      </c>
      <c r="G417" s="23">
        <f t="shared" si="135"/>
        <v>9419.0099999999948</v>
      </c>
      <c r="H417" s="23">
        <f t="shared" si="135"/>
        <v>9183.4499999999935</v>
      </c>
      <c r="I417" s="23">
        <f t="shared" si="135"/>
        <v>9248.8199999999961</v>
      </c>
      <c r="J417" s="23">
        <f t="shared" si="135"/>
        <v>9326.3700000000026</v>
      </c>
      <c r="K417" s="23">
        <f t="shared" si="135"/>
        <v>9447.7799999999952</v>
      </c>
      <c r="L417" s="103"/>
      <c r="M417" s="103"/>
      <c r="N417" s="103"/>
      <c r="O417" s="103"/>
      <c r="P417" s="103"/>
      <c r="Q417" s="104"/>
      <c r="R417" s="105"/>
      <c r="T417" s="97">
        <v>9000</v>
      </c>
      <c r="U417" s="77">
        <v>8090</v>
      </c>
      <c r="V417" s="77">
        <v>12070</v>
      </c>
    </row>
    <row r="418" spans="1:23">
      <c r="A418" s="110">
        <v>43173</v>
      </c>
      <c r="B418" s="21" t="s">
        <v>133</v>
      </c>
      <c r="C418" s="77">
        <v>29317.21</v>
      </c>
      <c r="D418" s="77">
        <v>29119.23</v>
      </c>
      <c r="E418" s="77">
        <v>29187.759999999998</v>
      </c>
      <c r="F418" s="77">
        <v>29142.22</v>
      </c>
      <c r="G418" s="77">
        <v>29341.56</v>
      </c>
      <c r="H418" s="77">
        <v>29292.46</v>
      </c>
      <c r="I418" s="77">
        <v>29130.13</v>
      </c>
      <c r="J418" s="77">
        <v>29123.48</v>
      </c>
      <c r="K418" s="77">
        <v>29338.63</v>
      </c>
      <c r="L418" s="24">
        <f>IF((K419=""),"",MAX(C420:K420))</f>
        <v>9170.8799999999974</v>
      </c>
      <c r="M418" s="24">
        <f>IF(K419="","",MIN(C420:K420))</f>
        <v>8038.3199999999961</v>
      </c>
      <c r="N418" s="24">
        <f>IF((K420=""),"",AVERAGE(C420:K420))</f>
        <v>8803.4800000000014</v>
      </c>
      <c r="O418" s="24">
        <f>IF((K419=""),"",STDEV(C420:K420))</f>
        <v>326.12078924074734</v>
      </c>
      <c r="P418" s="24">
        <f>IF((K419=""),"",O418/N418*100)</f>
        <v>3.7044531167305119</v>
      </c>
      <c r="Q418" s="26" t="str">
        <f>IF(K419="","",IF(P418&lt;15,IF(N418&gt;9000,IF(N418&lt;15600,"Pass","Fail"),"Fail"),"Fail"))</f>
        <v>Fail</v>
      </c>
      <c r="R418" s="113">
        <v>121</v>
      </c>
      <c r="T418" s="97">
        <v>9000</v>
      </c>
      <c r="U418" s="77">
        <v>8090</v>
      </c>
      <c r="V418" s="77">
        <v>12070</v>
      </c>
      <c r="W418" s="77">
        <v>6</v>
      </c>
    </row>
    <row r="419" spans="1:23">
      <c r="A419" s="107"/>
      <c r="B419" s="21" t="s">
        <v>135</v>
      </c>
      <c r="C419" s="77">
        <v>26260.25</v>
      </c>
      <c r="D419" s="77">
        <v>26150.28</v>
      </c>
      <c r="E419" s="77">
        <v>26218.76</v>
      </c>
      <c r="F419" s="77">
        <v>26189.84</v>
      </c>
      <c r="G419" s="77">
        <v>26405.89</v>
      </c>
      <c r="H419" s="77">
        <v>26613.02</v>
      </c>
      <c r="I419" s="77">
        <v>26263.65</v>
      </c>
      <c r="J419" s="77">
        <v>26112.38</v>
      </c>
      <c r="K419" s="77">
        <v>26368.17</v>
      </c>
      <c r="L419" s="99"/>
      <c r="M419" s="99"/>
      <c r="N419" s="99"/>
      <c r="O419" s="99"/>
      <c r="P419" s="99"/>
      <c r="Q419" s="100"/>
      <c r="R419" s="101"/>
      <c r="T419" s="97">
        <v>9000</v>
      </c>
      <c r="U419" s="77">
        <v>8090</v>
      </c>
      <c r="V419" s="77">
        <v>12070</v>
      </c>
    </row>
    <row r="420" spans="1:23" ht="15.75" thickBot="1">
      <c r="A420" s="108"/>
      <c r="B420" s="22" t="s">
        <v>136</v>
      </c>
      <c r="C420" s="23">
        <f t="shared" ref="C420:K420" si="136">IF(((C418="")*AND(C419="")),"",(C418-C419)*3)</f>
        <v>9170.8799999999974</v>
      </c>
      <c r="D420" s="23">
        <f t="shared" si="136"/>
        <v>8906.8500000000022</v>
      </c>
      <c r="E420" s="23">
        <f t="shared" si="136"/>
        <v>8907</v>
      </c>
      <c r="F420" s="23">
        <f t="shared" si="136"/>
        <v>8857.1400000000031</v>
      </c>
      <c r="G420" s="23">
        <f t="shared" si="136"/>
        <v>8807.0100000000057</v>
      </c>
      <c r="H420" s="23">
        <f t="shared" si="136"/>
        <v>8038.3199999999961</v>
      </c>
      <c r="I420" s="23">
        <f t="shared" si="136"/>
        <v>8599.4399999999987</v>
      </c>
      <c r="J420" s="23">
        <f t="shared" si="136"/>
        <v>9033.2999999999956</v>
      </c>
      <c r="K420" s="23">
        <f t="shared" si="136"/>
        <v>8911.3800000000083</v>
      </c>
      <c r="L420" s="103"/>
      <c r="M420" s="103"/>
      <c r="N420" s="103"/>
      <c r="O420" s="103"/>
      <c r="P420" s="103"/>
      <c r="Q420" s="104"/>
      <c r="R420" s="105"/>
      <c r="T420" s="97">
        <v>9000</v>
      </c>
      <c r="U420" s="77">
        <v>8090</v>
      </c>
      <c r="V420" s="77">
        <v>12070</v>
      </c>
    </row>
    <row r="421" spans="1:23">
      <c r="A421" s="110">
        <v>43173</v>
      </c>
      <c r="B421" s="21" t="s">
        <v>133</v>
      </c>
      <c r="C421" s="77">
        <v>29031.19</v>
      </c>
      <c r="D421" s="77">
        <v>28836.2</v>
      </c>
      <c r="E421" s="77">
        <v>28839.59</v>
      </c>
      <c r="F421" s="77">
        <v>28846.79</v>
      </c>
      <c r="G421" s="77">
        <v>29099.19</v>
      </c>
      <c r="H421" s="77">
        <v>29033.85</v>
      </c>
      <c r="I421" s="77">
        <v>28832.69</v>
      </c>
      <c r="J421" s="77">
        <v>28831.47</v>
      </c>
      <c r="K421" s="77">
        <v>29081.02</v>
      </c>
      <c r="L421" s="24">
        <f>IF((K422=""),"",MAX(C423:K423))</f>
        <v>10773.149999999998</v>
      </c>
      <c r="M421" s="24">
        <f>IF(K422="","",MIN(C423:K423))</f>
        <v>9739.77</v>
      </c>
      <c r="N421" s="24">
        <f>IF((K423=""),"",AVERAGE(C423:K423))</f>
        <v>10318.450000000003</v>
      </c>
      <c r="O421" s="24">
        <f>IF((K422=""),"",STDEV(C423:K423))</f>
        <v>292.03489021001576</v>
      </c>
      <c r="P421" s="24">
        <f>IF((K422=""),"",O421/N421*100)</f>
        <v>2.8302205293432219</v>
      </c>
      <c r="Q421" s="26" t="str">
        <f>IF(K422="","",IF(P421&lt;15,IF(N421&gt;9000,IF(N421&lt;15600,"Pass","Fail"),"Fail"),"Fail"))</f>
        <v>Pass</v>
      </c>
      <c r="R421" s="113">
        <v>121</v>
      </c>
      <c r="T421" s="97">
        <v>9000</v>
      </c>
      <c r="U421" s="77">
        <v>8090</v>
      </c>
      <c r="V421" s="77">
        <v>12070</v>
      </c>
      <c r="W421" s="77">
        <v>6</v>
      </c>
    </row>
    <row r="422" spans="1:23">
      <c r="A422" s="107"/>
      <c r="B422" s="21" t="s">
        <v>135</v>
      </c>
      <c r="C422" s="77">
        <v>25440.14</v>
      </c>
      <c r="D422" s="77">
        <v>25314.09</v>
      </c>
      <c r="E422" s="77">
        <v>25411.61</v>
      </c>
      <c r="F422" s="77">
        <v>25407.73</v>
      </c>
      <c r="G422" s="77">
        <v>25733.48</v>
      </c>
      <c r="H422" s="77">
        <v>25787.26</v>
      </c>
      <c r="I422" s="77">
        <v>25408.85</v>
      </c>
      <c r="J422" s="77">
        <v>25337.69</v>
      </c>
      <c r="K422" s="77">
        <v>25635.79</v>
      </c>
      <c r="L422" s="99"/>
      <c r="M422" s="99"/>
      <c r="N422" s="99"/>
      <c r="O422" s="99"/>
      <c r="P422" s="99"/>
      <c r="Q422" s="100"/>
      <c r="R422" s="101"/>
      <c r="T422" s="97">
        <v>9000</v>
      </c>
      <c r="U422" s="77">
        <v>8090</v>
      </c>
      <c r="V422" s="77">
        <v>12070</v>
      </c>
    </row>
    <row r="423" spans="1:23" ht="15.75" thickBot="1">
      <c r="A423" s="108"/>
      <c r="B423" s="22" t="s">
        <v>136</v>
      </c>
      <c r="C423" s="23">
        <f t="shared" ref="C423:K423" si="137">IF(((C421="")*AND(C422="")),"",(C421-C422)*3)</f>
        <v>10773.149999999998</v>
      </c>
      <c r="D423" s="23">
        <f t="shared" si="137"/>
        <v>10566.330000000002</v>
      </c>
      <c r="E423" s="23">
        <f t="shared" si="137"/>
        <v>10283.939999999999</v>
      </c>
      <c r="F423" s="23">
        <f t="shared" si="137"/>
        <v>10317.180000000004</v>
      </c>
      <c r="G423" s="23">
        <f t="shared" si="137"/>
        <v>10097.129999999997</v>
      </c>
      <c r="H423" s="23">
        <f t="shared" si="137"/>
        <v>9739.77</v>
      </c>
      <c r="I423" s="23">
        <f t="shared" si="137"/>
        <v>10271.52</v>
      </c>
      <c r="J423" s="23">
        <f t="shared" si="137"/>
        <v>10481.340000000007</v>
      </c>
      <c r="K423" s="23">
        <f t="shared" si="137"/>
        <v>10335.689999999999</v>
      </c>
      <c r="L423" s="103"/>
      <c r="M423" s="103"/>
      <c r="N423" s="103"/>
      <c r="O423" s="103"/>
      <c r="P423" s="103"/>
      <c r="Q423" s="104"/>
      <c r="R423" s="105"/>
      <c r="T423" s="97">
        <v>9000</v>
      </c>
      <c r="U423" s="77">
        <v>8090</v>
      </c>
      <c r="V423" s="77">
        <v>12070</v>
      </c>
    </row>
    <row r="424" spans="1:23">
      <c r="A424" s="110">
        <v>43178</v>
      </c>
      <c r="B424" s="21" t="s">
        <v>133</v>
      </c>
      <c r="C424" s="77">
        <v>29317.22</v>
      </c>
      <c r="D424" s="77">
        <v>29099.15</v>
      </c>
      <c r="E424" s="77">
        <v>29140.31</v>
      </c>
      <c r="F424" s="77">
        <v>29076.15</v>
      </c>
      <c r="G424" s="77">
        <v>29272.240000000002</v>
      </c>
      <c r="H424" s="77">
        <v>29226.84</v>
      </c>
      <c r="I424" s="77">
        <v>29070.28</v>
      </c>
      <c r="J424" s="77">
        <v>29064.47</v>
      </c>
      <c r="K424" s="77">
        <v>29279.73</v>
      </c>
      <c r="L424" s="24">
        <f>IF((K425=""),"",MAX(C426:K426))</f>
        <v>9956.4899999999943</v>
      </c>
      <c r="M424" s="24">
        <f>IF(K425="","",MIN(C426:K426))</f>
        <v>9020.1000000000022</v>
      </c>
      <c r="N424" s="24">
        <f>IF((K426=""),"",AVERAGE(C426:K426))</f>
        <v>9610.3633333333346</v>
      </c>
      <c r="O424" s="24">
        <f>IF((K425=""),"",STDEV(C426:K426))</f>
        <v>312.9391590229759</v>
      </c>
      <c r="P424" s="24">
        <f>IF((K425=""),"",O424/N424*100)</f>
        <v>3.2562677202593711</v>
      </c>
      <c r="Q424" s="26" t="str">
        <f>IF(K425="","",IF(P424&lt;15,IF(N424&gt;9000,IF(N424&lt;15600,"Pass","Fail"),"Fail"),"Fail"))</f>
        <v>Pass</v>
      </c>
      <c r="R424" s="113">
        <v>1159</v>
      </c>
      <c r="S424" s="77" t="s">
        <v>223</v>
      </c>
      <c r="T424" s="97">
        <v>9000</v>
      </c>
      <c r="U424" s="77">
        <v>8090</v>
      </c>
      <c r="V424" s="77">
        <v>12070</v>
      </c>
      <c r="W424" s="77">
        <v>6</v>
      </c>
    </row>
    <row r="425" spans="1:23">
      <c r="A425" s="107"/>
      <c r="B425" s="21" t="s">
        <v>135</v>
      </c>
      <c r="C425" s="77">
        <v>26310.52</v>
      </c>
      <c r="D425" s="77">
        <v>25934.12</v>
      </c>
      <c r="E425" s="77">
        <v>25949.97</v>
      </c>
      <c r="F425" s="77">
        <v>25774.76</v>
      </c>
      <c r="G425" s="77">
        <v>25990.33</v>
      </c>
      <c r="H425" s="77">
        <v>26135.1</v>
      </c>
      <c r="I425" s="77">
        <v>25870.27</v>
      </c>
      <c r="J425" s="77">
        <v>25789.33</v>
      </c>
      <c r="K425" s="77">
        <v>25960.9</v>
      </c>
      <c r="L425" s="99"/>
      <c r="M425" s="99"/>
      <c r="N425" s="99"/>
      <c r="O425" s="99"/>
      <c r="P425" s="99"/>
      <c r="Q425" s="100"/>
      <c r="R425" s="101"/>
      <c r="T425" s="97">
        <v>9000</v>
      </c>
      <c r="U425" s="77">
        <v>8090</v>
      </c>
      <c r="V425" s="77">
        <v>12070</v>
      </c>
    </row>
    <row r="426" spans="1:23" ht="15.75" thickBot="1">
      <c r="A426" s="108"/>
      <c r="B426" s="22" t="s">
        <v>136</v>
      </c>
      <c r="C426" s="23">
        <f t="shared" ref="C426:K426" si="138">IF(((C424="")*AND(C425="")),"",(C424-C425)*3)</f>
        <v>9020.1000000000022</v>
      </c>
      <c r="D426" s="23">
        <f t="shared" si="138"/>
        <v>9495.0900000000074</v>
      </c>
      <c r="E426" s="23">
        <f t="shared" si="138"/>
        <v>9571.02</v>
      </c>
      <c r="F426" s="23">
        <f t="shared" si="138"/>
        <v>9904.1700000000092</v>
      </c>
      <c r="G426" s="23">
        <f t="shared" si="138"/>
        <v>9845.73</v>
      </c>
      <c r="H426" s="23">
        <f t="shared" si="138"/>
        <v>9275.2200000000048</v>
      </c>
      <c r="I426" s="23">
        <f t="shared" si="138"/>
        <v>9600.0299999999952</v>
      </c>
      <c r="J426" s="23">
        <f t="shared" si="138"/>
        <v>9825.4199999999983</v>
      </c>
      <c r="K426" s="23">
        <f t="shared" si="138"/>
        <v>9956.4899999999943</v>
      </c>
      <c r="L426" s="103"/>
      <c r="M426" s="103"/>
      <c r="N426" s="103"/>
      <c r="O426" s="103"/>
      <c r="P426" s="103"/>
      <c r="Q426" s="104"/>
      <c r="R426" s="105"/>
      <c r="T426" s="97">
        <v>9000</v>
      </c>
      <c r="U426" s="77">
        <v>8090</v>
      </c>
      <c r="V426" s="77">
        <v>12070</v>
      </c>
    </row>
    <row r="427" spans="1:23">
      <c r="A427" s="110">
        <v>43182</v>
      </c>
      <c r="B427" s="21" t="s">
        <v>133</v>
      </c>
      <c r="C427" s="77">
        <v>29252.77</v>
      </c>
      <c r="D427" s="77">
        <v>29049.46</v>
      </c>
      <c r="E427" s="77">
        <v>29040.14</v>
      </c>
      <c r="F427" s="77">
        <v>29039.9</v>
      </c>
      <c r="G427" s="77">
        <v>29285.360000000001</v>
      </c>
      <c r="H427" s="77">
        <v>29216.04</v>
      </c>
      <c r="I427" s="77">
        <v>29030.26</v>
      </c>
      <c r="J427" s="77">
        <v>29033.360000000001</v>
      </c>
      <c r="K427" s="77">
        <v>29255.52</v>
      </c>
      <c r="L427" s="24">
        <f>IF((K428=""),"",MAX(C429:K429))</f>
        <v>9184.1700000000092</v>
      </c>
      <c r="M427" s="24">
        <f>IF(K428="","",MIN(C429:K429))</f>
        <v>8231.25</v>
      </c>
      <c r="N427" s="24">
        <f>IF((K429=""),"",AVERAGE(C429:K429))</f>
        <v>8860.3266666666677</v>
      </c>
      <c r="O427" s="24">
        <f>IF((K428=""),"",STDEV(C429:K429))</f>
        <v>313.22085626597226</v>
      </c>
      <c r="P427" s="24">
        <f>IF((K428=""),"",O427/N427*100)</f>
        <v>3.5350937730584677</v>
      </c>
      <c r="Q427" s="26" t="str">
        <f>IF(K428="","",IF(P427&lt;15,IF(N427&gt;9000,IF(N427&lt;15600,"Pass","Fail"),"Fail"),"Fail"))</f>
        <v>Fail</v>
      </c>
      <c r="R427" s="113">
        <v>1159</v>
      </c>
      <c r="T427" s="97">
        <v>9000</v>
      </c>
      <c r="U427" s="77">
        <v>8090</v>
      </c>
      <c r="V427" s="77">
        <v>12070</v>
      </c>
      <c r="W427" s="77">
        <v>6</v>
      </c>
    </row>
    <row r="428" spans="1:23">
      <c r="A428" s="107"/>
      <c r="B428" s="21" t="s">
        <v>135</v>
      </c>
      <c r="C428" s="77">
        <v>26509.02</v>
      </c>
      <c r="D428" s="77">
        <v>26156.92</v>
      </c>
      <c r="E428" s="77">
        <v>26113.83</v>
      </c>
      <c r="F428" s="77">
        <v>25978.51</v>
      </c>
      <c r="G428" s="77">
        <v>26224.44</v>
      </c>
      <c r="H428" s="77">
        <v>26330.240000000002</v>
      </c>
      <c r="I428" s="77">
        <v>26070.06</v>
      </c>
      <c r="J428" s="77">
        <v>26027.22</v>
      </c>
      <c r="K428" s="77">
        <v>26211.59</v>
      </c>
      <c r="L428" s="99"/>
      <c r="M428" s="99"/>
      <c r="N428" s="99"/>
      <c r="O428" s="99"/>
      <c r="P428" s="99"/>
      <c r="Q428" s="100"/>
      <c r="R428" s="101"/>
      <c r="T428" s="97">
        <v>9000</v>
      </c>
      <c r="U428" s="77">
        <v>8090</v>
      </c>
      <c r="V428" s="77">
        <v>12070</v>
      </c>
    </row>
    <row r="429" spans="1:23" ht="15.75" thickBot="1">
      <c r="A429" s="108"/>
      <c r="B429" s="22" t="s">
        <v>136</v>
      </c>
      <c r="C429" s="23">
        <f t="shared" ref="C429:K429" si="139">IF(((C427="")*AND(C428="")),"",(C427-C428)*3)</f>
        <v>8231.25</v>
      </c>
      <c r="D429" s="23">
        <f t="shared" si="139"/>
        <v>8677.6200000000026</v>
      </c>
      <c r="E429" s="23">
        <f t="shared" si="139"/>
        <v>8778.929999999993</v>
      </c>
      <c r="F429" s="23">
        <f t="shared" si="139"/>
        <v>9184.1700000000092</v>
      </c>
      <c r="G429" s="23">
        <f t="shared" si="139"/>
        <v>9182.7600000000057</v>
      </c>
      <c r="H429" s="23">
        <f t="shared" si="139"/>
        <v>8657.3999999999978</v>
      </c>
      <c r="I429" s="23">
        <f t="shared" si="139"/>
        <v>8880.5999999999913</v>
      </c>
      <c r="J429" s="23">
        <f t="shared" si="139"/>
        <v>9018.4199999999983</v>
      </c>
      <c r="K429" s="23">
        <f t="shared" si="139"/>
        <v>9131.7900000000009</v>
      </c>
      <c r="L429" s="103"/>
      <c r="M429" s="103"/>
      <c r="N429" s="103"/>
      <c r="O429" s="103"/>
      <c r="P429" s="103"/>
      <c r="Q429" s="104"/>
      <c r="R429" s="105"/>
      <c r="T429" s="97">
        <v>9000</v>
      </c>
      <c r="U429" s="77">
        <v>8090</v>
      </c>
      <c r="V429" s="77">
        <v>12070</v>
      </c>
    </row>
    <row r="430" spans="1:23">
      <c r="A430" s="110">
        <v>43182</v>
      </c>
      <c r="B430" s="21" t="s">
        <v>133</v>
      </c>
      <c r="C430" s="77">
        <v>29196.52</v>
      </c>
      <c r="D430" s="77">
        <v>29021.69</v>
      </c>
      <c r="E430" s="77">
        <v>29030.1</v>
      </c>
      <c r="F430" s="77">
        <v>29042.66</v>
      </c>
      <c r="G430" s="77">
        <v>29266.59</v>
      </c>
      <c r="H430" s="77">
        <v>29200.58</v>
      </c>
      <c r="I430" s="77">
        <v>29018.62</v>
      </c>
      <c r="J430" s="77">
        <v>29025.48</v>
      </c>
      <c r="K430" s="77">
        <v>29270.14</v>
      </c>
      <c r="L430" s="24">
        <f>IF((K431=""),"",MAX(C432:K432))</f>
        <v>10094.069999999996</v>
      </c>
      <c r="M430" s="24">
        <f>IF(K431="","",MIN(C432:K432))</f>
        <v>9017.5500000000065</v>
      </c>
      <c r="N430" s="24">
        <f>IF((K432=""),"",AVERAGE(C432:K432))</f>
        <v>9685.7566666666662</v>
      </c>
      <c r="O430" s="24">
        <f>IF((K431=""),"",STDEV(C432:K432))</f>
        <v>338.05136266543701</v>
      </c>
      <c r="P430" s="24">
        <f>IF((K431=""),"",O430/N430*100)</f>
        <v>3.4901905375016686</v>
      </c>
      <c r="Q430" s="26" t="str">
        <f>IF(K431="","",IF(P430&lt;15,IF(N430&gt;9000,IF(N430&lt;15600,"Pass","Fail"),"Fail"),"Fail"))</f>
        <v>Pass</v>
      </c>
      <c r="R430" s="113">
        <v>1159</v>
      </c>
      <c r="S430" s="92" t="s">
        <v>224</v>
      </c>
      <c r="T430" s="97">
        <v>9000</v>
      </c>
      <c r="U430" s="77">
        <v>8090</v>
      </c>
      <c r="V430" s="77">
        <v>12070</v>
      </c>
      <c r="W430" s="77">
        <v>6</v>
      </c>
    </row>
    <row r="431" spans="1:23">
      <c r="A431" s="107"/>
      <c r="B431" s="21" t="s">
        <v>135</v>
      </c>
      <c r="C431" s="77">
        <v>26190.67</v>
      </c>
      <c r="D431" s="77">
        <v>25845.79</v>
      </c>
      <c r="E431" s="77">
        <v>25832.19</v>
      </c>
      <c r="F431" s="77">
        <v>25677.97</v>
      </c>
      <c r="G431" s="77">
        <v>25950.15</v>
      </c>
      <c r="H431" s="77">
        <v>26069.14</v>
      </c>
      <c r="I431" s="77">
        <v>25762.66</v>
      </c>
      <c r="J431" s="77">
        <v>25732.89</v>
      </c>
      <c r="K431" s="77">
        <v>25953.65</v>
      </c>
      <c r="L431" s="99"/>
      <c r="M431" s="99"/>
      <c r="N431" s="99"/>
      <c r="O431" s="99"/>
      <c r="P431" s="99"/>
      <c r="Q431" s="100"/>
      <c r="R431" s="101"/>
      <c r="T431" s="97">
        <v>9000</v>
      </c>
      <c r="U431" s="77">
        <v>8090</v>
      </c>
      <c r="V431" s="77">
        <v>12070</v>
      </c>
    </row>
    <row r="432" spans="1:23" ht="15.75" thickBot="1">
      <c r="A432" s="108"/>
      <c r="B432" s="22" t="s">
        <v>136</v>
      </c>
      <c r="C432" s="23">
        <f t="shared" ref="C432:K432" si="140">IF(((C430="")*AND(C431="")),"",(C430-C431)*3)</f>
        <v>9017.5500000000065</v>
      </c>
      <c r="D432" s="23">
        <f t="shared" si="140"/>
        <v>9527.6999999999935</v>
      </c>
      <c r="E432" s="23">
        <f t="shared" si="140"/>
        <v>9593.73</v>
      </c>
      <c r="F432" s="23">
        <f t="shared" si="140"/>
        <v>10094.069999999996</v>
      </c>
      <c r="G432" s="23">
        <f t="shared" si="140"/>
        <v>9949.3199999999961</v>
      </c>
      <c r="H432" s="23">
        <f t="shared" si="140"/>
        <v>9394.320000000007</v>
      </c>
      <c r="I432" s="23">
        <f t="shared" si="140"/>
        <v>9767.8799999999974</v>
      </c>
      <c r="J432" s="23">
        <f t="shared" si="140"/>
        <v>9877.77</v>
      </c>
      <c r="K432" s="23">
        <f t="shared" si="140"/>
        <v>9949.4699999999939</v>
      </c>
      <c r="L432" s="103"/>
      <c r="M432" s="103"/>
      <c r="N432" s="103"/>
      <c r="O432" s="103"/>
      <c r="P432" s="103"/>
      <c r="Q432" s="104"/>
      <c r="R432" s="105"/>
      <c r="T432" s="97">
        <v>9000</v>
      </c>
      <c r="U432" s="77">
        <v>8090</v>
      </c>
      <c r="V432" s="77">
        <v>12070</v>
      </c>
    </row>
    <row r="433" spans="1:23">
      <c r="A433" s="110">
        <v>43187</v>
      </c>
      <c r="B433" s="21" t="s">
        <v>133</v>
      </c>
      <c r="C433" s="77">
        <v>29136.27</v>
      </c>
      <c r="D433" s="77">
        <v>28992.89</v>
      </c>
      <c r="E433" s="77">
        <v>29064.07</v>
      </c>
      <c r="F433" s="77">
        <v>29013.62</v>
      </c>
      <c r="G433" s="77">
        <v>29258.06</v>
      </c>
      <c r="H433" s="77">
        <v>29191.54</v>
      </c>
      <c r="I433" s="77">
        <v>29005.42</v>
      </c>
      <c r="J433" s="77">
        <v>28991.53</v>
      </c>
      <c r="K433" s="77">
        <v>29206.69</v>
      </c>
      <c r="L433" s="24">
        <f>IF((K434=""),"",MAX(C435:K435))</f>
        <v>10100.459999999999</v>
      </c>
      <c r="M433" s="24">
        <f>IF(K434="","",MIN(C435:K435))</f>
        <v>9172.1400000000031</v>
      </c>
      <c r="N433" s="24">
        <f>IF((K435=""),"",AVERAGE(C435:K435))</f>
        <v>9778.9166666666661</v>
      </c>
      <c r="O433" s="24">
        <f>IF((K434=""),"",STDEV(C435:K435))</f>
        <v>329.93983546243112</v>
      </c>
      <c r="P433" s="24">
        <f>IF((K434=""),"",O433/N433*100)</f>
        <v>3.3739916875158067</v>
      </c>
      <c r="Q433" s="26" t="str">
        <f>IF(K434="","",IF(P433&lt;15,IF(N433&gt;9000,IF(N433&lt;15600,"Pass","Fail"),"Fail"),"Fail"))</f>
        <v>Pass</v>
      </c>
      <c r="R433" s="113">
        <v>1159</v>
      </c>
      <c r="S433" s="77" t="s">
        <v>225</v>
      </c>
      <c r="T433" s="97">
        <v>9000</v>
      </c>
      <c r="U433" s="77">
        <v>8090</v>
      </c>
      <c r="V433" s="77">
        <v>12070</v>
      </c>
      <c r="W433" s="77">
        <v>6</v>
      </c>
    </row>
    <row r="434" spans="1:23">
      <c r="A434" s="107"/>
      <c r="B434" s="21" t="s">
        <v>135</v>
      </c>
      <c r="C434" s="77">
        <v>26078.89</v>
      </c>
      <c r="D434" s="77">
        <v>25768.94</v>
      </c>
      <c r="E434" s="77">
        <v>25812.639999999999</v>
      </c>
      <c r="F434" s="77">
        <v>25646.799999999999</v>
      </c>
      <c r="G434" s="77">
        <v>25901.61</v>
      </c>
      <c r="H434" s="77">
        <v>26062.52</v>
      </c>
      <c r="I434" s="77">
        <v>25753.58</v>
      </c>
      <c r="J434" s="77">
        <v>25652.27</v>
      </c>
      <c r="K434" s="77">
        <v>25846.09</v>
      </c>
      <c r="L434" s="99"/>
      <c r="M434" s="99"/>
      <c r="N434" s="99"/>
      <c r="O434" s="99"/>
      <c r="P434" s="99"/>
      <c r="Q434" s="100"/>
      <c r="R434" s="101"/>
      <c r="T434" s="97">
        <v>9000</v>
      </c>
      <c r="U434" s="77">
        <v>8090</v>
      </c>
      <c r="V434" s="77">
        <v>12070</v>
      </c>
    </row>
    <row r="435" spans="1:23" ht="15.75" thickBot="1">
      <c r="A435" s="108"/>
      <c r="B435" s="22" t="s">
        <v>136</v>
      </c>
      <c r="C435" s="23">
        <f t="shared" ref="C435:K435" si="141">IF(((C433="")*AND(C434="")),"",(C433-C434)*3)</f>
        <v>9172.1400000000031</v>
      </c>
      <c r="D435" s="23">
        <f t="shared" si="141"/>
        <v>9671.8500000000022</v>
      </c>
      <c r="E435" s="23">
        <f t="shared" si="141"/>
        <v>9754.2900000000009</v>
      </c>
      <c r="F435" s="23">
        <f t="shared" si="141"/>
        <v>10100.459999999999</v>
      </c>
      <c r="G435" s="23">
        <f t="shared" si="141"/>
        <v>10069.350000000002</v>
      </c>
      <c r="H435" s="23">
        <f t="shared" si="141"/>
        <v>9387.0600000000013</v>
      </c>
      <c r="I435" s="23">
        <f t="shared" si="141"/>
        <v>9755.5199999999895</v>
      </c>
      <c r="J435" s="23">
        <f t="shared" si="141"/>
        <v>10017.779999999995</v>
      </c>
      <c r="K435" s="23">
        <f t="shared" si="141"/>
        <v>10081.799999999996</v>
      </c>
      <c r="L435" s="103"/>
      <c r="M435" s="103"/>
      <c r="N435" s="103"/>
      <c r="O435" s="103"/>
      <c r="P435" s="103"/>
      <c r="Q435" s="104"/>
      <c r="R435" s="105"/>
      <c r="T435" s="97">
        <v>9000</v>
      </c>
      <c r="U435" s="77">
        <v>8090</v>
      </c>
      <c r="V435" s="77">
        <v>12070</v>
      </c>
    </row>
    <row r="436" spans="1:23">
      <c r="A436" s="110">
        <v>43192</v>
      </c>
      <c r="B436" s="21" t="s">
        <v>133</v>
      </c>
      <c r="C436" s="77">
        <v>29228.19</v>
      </c>
      <c r="D436" s="77">
        <v>29101.37</v>
      </c>
      <c r="E436" s="77">
        <v>29161.56</v>
      </c>
      <c r="F436" s="77">
        <v>29112.58</v>
      </c>
      <c r="G436" s="77">
        <v>29338.400000000001</v>
      </c>
      <c r="H436" s="77">
        <v>29256.76</v>
      </c>
      <c r="I436" s="77">
        <v>29100.38</v>
      </c>
      <c r="J436" s="77">
        <v>29097.66</v>
      </c>
      <c r="K436" s="77">
        <v>29286.59</v>
      </c>
      <c r="L436" s="24">
        <f>IF((K437=""),"",MAX(C438:K438))</f>
        <v>8819.4300000000039</v>
      </c>
      <c r="M436" s="24">
        <f>IF(K437="","",MIN(C438:K438))</f>
        <v>7509.6299999999974</v>
      </c>
      <c r="N436" s="24">
        <f>IF((K438=""),"",AVERAGE(C438:K438))</f>
        <v>8355.74</v>
      </c>
      <c r="O436" s="24">
        <f>IF((K437=""),"",STDEV(C438:K438))</f>
        <v>378.43120791628849</v>
      </c>
      <c r="P436" s="24">
        <f>IF((K437=""),"",O436/N436*100)</f>
        <v>4.5289969280553066</v>
      </c>
      <c r="Q436" s="26" t="str">
        <f>IF(K437="","",IF(P436&lt;15,IF(N436&gt;9000,IF(N436&lt;15600,"Pass","Fail"),"Fail"),"Fail"))</f>
        <v>Fail</v>
      </c>
      <c r="R436" s="113">
        <v>121</v>
      </c>
      <c r="T436" s="97">
        <v>9000</v>
      </c>
      <c r="U436" s="77">
        <v>8090</v>
      </c>
      <c r="V436" s="77">
        <v>12070</v>
      </c>
      <c r="W436" s="77">
        <v>6</v>
      </c>
    </row>
    <row r="437" spans="1:23">
      <c r="A437" s="107"/>
      <c r="B437" s="21" t="s">
        <v>135</v>
      </c>
      <c r="C437" s="77">
        <v>26458.06</v>
      </c>
      <c r="D437" s="77">
        <v>26331.65</v>
      </c>
      <c r="E437" s="77">
        <v>26385.09</v>
      </c>
      <c r="F437" s="77">
        <v>26228.59</v>
      </c>
      <c r="G437" s="77">
        <v>26398.59</v>
      </c>
      <c r="H437" s="77">
        <v>26753.55</v>
      </c>
      <c r="I437" s="77">
        <v>26380.18</v>
      </c>
      <c r="J437" s="77">
        <v>26230.57</v>
      </c>
      <c r="K437" s="77">
        <v>26449.99</v>
      </c>
      <c r="L437" s="99"/>
      <c r="M437" s="99"/>
      <c r="N437" s="99"/>
      <c r="O437" s="99"/>
      <c r="P437" s="99"/>
      <c r="Q437" s="100"/>
      <c r="R437" s="101"/>
      <c r="T437" s="97">
        <v>9000</v>
      </c>
      <c r="U437" s="77">
        <v>8090</v>
      </c>
      <c r="V437" s="77">
        <v>12070</v>
      </c>
    </row>
    <row r="438" spans="1:23" ht="15.75" thickBot="1">
      <c r="A438" s="108"/>
      <c r="B438" s="22" t="s">
        <v>136</v>
      </c>
      <c r="C438" s="23">
        <f t="shared" ref="C438:K438" si="142">IF(((C436="")*AND(C437="")),"",(C436-C437)*3)</f>
        <v>8310.3899999999921</v>
      </c>
      <c r="D438" s="23">
        <f t="shared" si="142"/>
        <v>8309.1599999999926</v>
      </c>
      <c r="E438" s="23">
        <f t="shared" si="142"/>
        <v>8329.4100000000035</v>
      </c>
      <c r="F438" s="23">
        <f t="shared" si="142"/>
        <v>8651.9700000000048</v>
      </c>
      <c r="G438" s="23">
        <f t="shared" si="142"/>
        <v>8819.4300000000039</v>
      </c>
      <c r="H438" s="23">
        <f t="shared" si="142"/>
        <v>7509.6299999999974</v>
      </c>
      <c r="I438" s="23">
        <f t="shared" si="142"/>
        <v>8160.6000000000022</v>
      </c>
      <c r="J438" s="23">
        <f t="shared" si="142"/>
        <v>8601.27</v>
      </c>
      <c r="K438" s="23">
        <f t="shared" si="142"/>
        <v>8509.7999999999956</v>
      </c>
      <c r="L438" s="103"/>
      <c r="M438" s="103"/>
      <c r="N438" s="103"/>
      <c r="O438" s="103"/>
      <c r="P438" s="103"/>
      <c r="Q438" s="104"/>
      <c r="R438" s="105"/>
      <c r="T438" s="97">
        <v>9000</v>
      </c>
      <c r="U438" s="77">
        <v>8090</v>
      </c>
      <c r="V438" s="77">
        <v>12070</v>
      </c>
    </row>
    <row r="439" spans="1:23">
      <c r="A439" s="110">
        <v>43192</v>
      </c>
      <c r="B439" s="21" t="s">
        <v>133</v>
      </c>
      <c r="C439" s="77">
        <v>29180.43</v>
      </c>
      <c r="D439" s="77">
        <v>29007.59</v>
      </c>
      <c r="E439" s="77">
        <v>29007.57</v>
      </c>
      <c r="F439" s="77">
        <v>29010.92</v>
      </c>
      <c r="G439" s="77">
        <v>29211.54</v>
      </c>
      <c r="H439" s="77">
        <v>29176.31</v>
      </c>
      <c r="I439" s="77">
        <v>29005.02</v>
      </c>
      <c r="J439" s="77">
        <v>28996.21</v>
      </c>
      <c r="K439" s="77">
        <v>29241.94</v>
      </c>
      <c r="L439" s="24">
        <f>IF((K440=""),"",MAX(C441:K441))</f>
        <v>10563.239999999994</v>
      </c>
      <c r="M439" s="24">
        <f>IF(K440="","",MIN(C441:K441))</f>
        <v>9509.0400000000009</v>
      </c>
      <c r="N439" s="24">
        <f>IF((K441=""),"",AVERAGE(C441:K441))</f>
        <v>10170.073333333328</v>
      </c>
      <c r="O439" s="24">
        <f>IF((K440=""),"",STDEV(C441:K441))</f>
        <v>322.85767065384454</v>
      </c>
      <c r="P439" s="24">
        <f>IF((K440=""),"",O439/N439*100)</f>
        <v>3.1745854732005676</v>
      </c>
      <c r="Q439" s="26" t="str">
        <f>IF(K440="","",IF(P439&lt;15,IF(N439&gt;9000,IF(N439&lt;15600,"Pass","Fail"),"Fail"),"Fail"))</f>
        <v>Pass</v>
      </c>
      <c r="R439" s="113">
        <v>121</v>
      </c>
      <c r="S439" s="77" t="s">
        <v>226</v>
      </c>
      <c r="T439" s="97">
        <v>9000</v>
      </c>
      <c r="U439" s="77">
        <v>8090</v>
      </c>
      <c r="V439" s="77">
        <v>12070</v>
      </c>
      <c r="W439" s="77">
        <v>6</v>
      </c>
    </row>
    <row r="440" spans="1:23">
      <c r="A440" s="107"/>
      <c r="B440" s="21" t="s">
        <v>135</v>
      </c>
      <c r="C440" s="77">
        <v>26010.75</v>
      </c>
      <c r="D440" s="77">
        <v>25641.38</v>
      </c>
      <c r="E440" s="77">
        <v>25606.61</v>
      </c>
      <c r="F440" s="77">
        <v>25530.63</v>
      </c>
      <c r="G440" s="77">
        <v>25789.86</v>
      </c>
      <c r="H440" s="77">
        <v>25893.4</v>
      </c>
      <c r="I440" s="77">
        <v>25601.33</v>
      </c>
      <c r="J440" s="77">
        <v>25532.49</v>
      </c>
      <c r="K440" s="77">
        <v>25720.86</v>
      </c>
      <c r="L440" s="99"/>
      <c r="M440" s="99"/>
      <c r="N440" s="99"/>
      <c r="O440" s="99"/>
      <c r="P440" s="99"/>
      <c r="Q440" s="100"/>
      <c r="R440" s="101"/>
      <c r="T440" s="97">
        <v>9000</v>
      </c>
      <c r="U440" s="77">
        <v>8090</v>
      </c>
      <c r="V440" s="77">
        <v>12070</v>
      </c>
    </row>
    <row r="441" spans="1:23" ht="15.75" thickBot="1">
      <c r="A441" s="108"/>
      <c r="B441" s="22" t="s">
        <v>136</v>
      </c>
      <c r="C441" s="23">
        <f t="shared" ref="C441:K441" si="143">IF(((C439="")*AND(C440="")),"",(C439-C440)*3)</f>
        <v>9509.0400000000009</v>
      </c>
      <c r="D441" s="23">
        <f t="shared" si="143"/>
        <v>10098.629999999997</v>
      </c>
      <c r="E441" s="23">
        <f t="shared" si="143"/>
        <v>10202.879999999997</v>
      </c>
      <c r="F441" s="23">
        <f t="shared" si="143"/>
        <v>10440.869999999992</v>
      </c>
      <c r="G441" s="23">
        <f t="shared" si="143"/>
        <v>10265.040000000001</v>
      </c>
      <c r="H441" s="23">
        <f t="shared" si="143"/>
        <v>9848.73</v>
      </c>
      <c r="I441" s="23">
        <f t="shared" si="143"/>
        <v>10211.069999999996</v>
      </c>
      <c r="J441" s="23">
        <f t="shared" si="143"/>
        <v>10391.159999999993</v>
      </c>
      <c r="K441" s="23">
        <f t="shared" si="143"/>
        <v>10563.239999999994</v>
      </c>
      <c r="L441" s="103"/>
      <c r="M441" s="103"/>
      <c r="N441" s="103"/>
      <c r="O441" s="103"/>
      <c r="P441" s="103"/>
      <c r="Q441" s="104"/>
      <c r="R441" s="105"/>
      <c r="T441" s="97">
        <v>9000</v>
      </c>
      <c r="U441" s="77">
        <v>8090</v>
      </c>
      <c r="V441" s="77">
        <v>12070</v>
      </c>
    </row>
    <row r="442" spans="1:23">
      <c r="A442" s="110">
        <v>43199</v>
      </c>
      <c r="B442" s="21" t="s">
        <v>133</v>
      </c>
      <c r="C442" s="77">
        <v>29097.45</v>
      </c>
      <c r="D442" s="77">
        <v>28924.3</v>
      </c>
      <c r="E442" s="77">
        <v>28928.25</v>
      </c>
      <c r="F442" s="77">
        <v>28950</v>
      </c>
      <c r="G442" s="77">
        <v>29155.89</v>
      </c>
      <c r="H442" s="77">
        <v>29102.52</v>
      </c>
      <c r="I442" s="77">
        <v>28921.51</v>
      </c>
      <c r="J442" s="77">
        <v>28926.94</v>
      </c>
      <c r="K442" s="77">
        <v>29186.560000000001</v>
      </c>
      <c r="L442" s="24">
        <f>IF((K443=""),"",MAX(C444:K444))</f>
        <v>8689.4100000000035</v>
      </c>
      <c r="M442" s="24">
        <f>IF(K443="","",MIN(C444:K444))</f>
        <v>7575.3300000000017</v>
      </c>
      <c r="N442" s="24">
        <f>IF((K444=""),"",AVERAGE(C444:K444))</f>
        <v>8363.2533333333322</v>
      </c>
      <c r="O442" s="24">
        <f>IF((K443=""),"",STDEV(C444:K444))</f>
        <v>351.3569855930013</v>
      </c>
      <c r="P442" s="24">
        <f>IF((K443=""),"",O442/N442*100)</f>
        <v>4.201199839213305</v>
      </c>
      <c r="Q442" s="26" t="str">
        <f>IF(K443="","",IF(P442&lt;15,IF(N442&gt;9000,IF(N442&lt;15600,"Pass","Fail"),"Fail"),"Fail"))</f>
        <v>Fail</v>
      </c>
      <c r="R442" s="113">
        <v>1159</v>
      </c>
      <c r="T442" s="97">
        <v>9000</v>
      </c>
      <c r="U442" s="77">
        <v>8090</v>
      </c>
      <c r="V442" s="77">
        <v>12070</v>
      </c>
      <c r="W442" s="77">
        <v>6</v>
      </c>
    </row>
    <row r="443" spans="1:23">
      <c r="A443" s="107"/>
      <c r="B443" s="21" t="s">
        <v>135</v>
      </c>
      <c r="C443" s="77">
        <v>26328.09</v>
      </c>
      <c r="D443" s="77">
        <v>26149.72</v>
      </c>
      <c r="E443" s="77">
        <v>26152.45</v>
      </c>
      <c r="F443" s="77">
        <v>26069.57</v>
      </c>
      <c r="G443" s="77">
        <v>26259.42</v>
      </c>
      <c r="H443" s="77">
        <v>26577.41</v>
      </c>
      <c r="I443" s="77">
        <v>26202.04</v>
      </c>
      <c r="J443" s="77">
        <v>26047.31</v>
      </c>
      <c r="K443" s="77">
        <v>26317.65</v>
      </c>
      <c r="L443" s="99"/>
      <c r="M443" s="99"/>
      <c r="N443" s="99"/>
      <c r="O443" s="99"/>
      <c r="P443" s="99"/>
      <c r="Q443" s="100"/>
      <c r="R443" s="101"/>
      <c r="T443" s="97">
        <v>9000</v>
      </c>
      <c r="U443" s="77">
        <v>8090</v>
      </c>
      <c r="V443" s="77">
        <v>12070</v>
      </c>
    </row>
    <row r="444" spans="1:23" ht="15.75" thickBot="1">
      <c r="A444" s="108"/>
      <c r="B444" s="22" t="s">
        <v>136</v>
      </c>
      <c r="C444" s="23">
        <f t="shared" ref="C444:K444" si="144">IF(((C442="")*AND(C443="")),"",(C442-C443)*3)</f>
        <v>8308.0800000000017</v>
      </c>
      <c r="D444" s="23">
        <f t="shared" si="144"/>
        <v>8323.7399999999943</v>
      </c>
      <c r="E444" s="23">
        <f t="shared" si="144"/>
        <v>8327.3999999999978</v>
      </c>
      <c r="F444" s="23">
        <f t="shared" si="144"/>
        <v>8641.2900000000009</v>
      </c>
      <c r="G444" s="23">
        <f t="shared" si="144"/>
        <v>8689.4100000000035</v>
      </c>
      <c r="H444" s="23">
        <f t="shared" si="144"/>
        <v>7575.3300000000017</v>
      </c>
      <c r="I444" s="23">
        <f t="shared" si="144"/>
        <v>8158.4099999999926</v>
      </c>
      <c r="J444" s="23">
        <f t="shared" si="144"/>
        <v>8638.8899999999921</v>
      </c>
      <c r="K444" s="23">
        <f t="shared" si="144"/>
        <v>8606.73</v>
      </c>
      <c r="L444" s="103"/>
      <c r="M444" s="103"/>
      <c r="N444" s="103"/>
      <c r="O444" s="103"/>
      <c r="P444" s="103"/>
      <c r="Q444" s="104"/>
      <c r="R444" s="105"/>
      <c r="T444" s="97">
        <v>9000</v>
      </c>
      <c r="U444" s="77">
        <v>8090</v>
      </c>
      <c r="V444" s="77">
        <v>12070</v>
      </c>
    </row>
    <row r="445" spans="1:23">
      <c r="A445" s="110">
        <v>43199</v>
      </c>
      <c r="B445" s="21" t="s">
        <v>133</v>
      </c>
      <c r="C445" s="77">
        <v>29158.85</v>
      </c>
      <c r="D445" s="77">
        <v>28983.72</v>
      </c>
      <c r="E445" s="77">
        <v>28964.720000000001</v>
      </c>
      <c r="F445" s="77">
        <v>28986.62</v>
      </c>
      <c r="G445" s="77">
        <v>29227.84</v>
      </c>
      <c r="H445" s="77">
        <v>29176.9</v>
      </c>
      <c r="I445" s="77">
        <v>28996.7</v>
      </c>
      <c r="J445" s="77">
        <v>28972.14</v>
      </c>
      <c r="K445" s="77">
        <v>29206.09</v>
      </c>
      <c r="L445" s="24">
        <f>IF((K446=""),"",MAX(C447:K447))</f>
        <v>10401.209999999999</v>
      </c>
      <c r="M445" s="24">
        <f>IF(K446="","",MIN(C447:K447))</f>
        <v>9304.77</v>
      </c>
      <c r="N445" s="24">
        <f>IF((K447=""),"",AVERAGE(C447:K447))</f>
        <v>9924.0266666666666</v>
      </c>
      <c r="O445" s="24">
        <f>IF((K446=""),"",STDEV(C447:K447))</f>
        <v>327.1075510439963</v>
      </c>
      <c r="P445" s="24">
        <f>IF((K446=""),"",O445/N445*100)</f>
        <v>3.2961172116022426</v>
      </c>
      <c r="Q445" s="26" t="str">
        <f>IF(K446="","",IF(P445&lt;15,IF(N445&gt;9000,IF(N445&lt;15600,"Pass","Fail"),"Fail"),"Fail"))</f>
        <v>Pass</v>
      </c>
      <c r="R445" s="113">
        <v>1159</v>
      </c>
      <c r="S445" s="77" t="s">
        <v>227</v>
      </c>
      <c r="T445" s="97">
        <v>9000</v>
      </c>
      <c r="U445" s="77">
        <v>8090</v>
      </c>
      <c r="V445" s="77">
        <v>12070</v>
      </c>
      <c r="W445" s="77">
        <v>6</v>
      </c>
    </row>
    <row r="446" spans="1:23">
      <c r="A446" s="107"/>
      <c r="B446" s="21" t="s">
        <v>135</v>
      </c>
      <c r="C446" s="77">
        <v>25930.3</v>
      </c>
      <c r="D446" s="77">
        <v>25691.98</v>
      </c>
      <c r="E446" s="77">
        <v>25712.880000000001</v>
      </c>
      <c r="F446" s="77">
        <v>25582.54</v>
      </c>
      <c r="G446" s="77">
        <v>25760.77</v>
      </c>
      <c r="H446" s="77">
        <v>26075.31</v>
      </c>
      <c r="I446" s="77">
        <v>25706.32</v>
      </c>
      <c r="J446" s="77">
        <v>25585.98</v>
      </c>
      <c r="K446" s="77">
        <v>25855.42</v>
      </c>
      <c r="L446" s="99"/>
      <c r="M446" s="99"/>
      <c r="N446" s="99"/>
      <c r="O446" s="99"/>
      <c r="P446" s="99"/>
      <c r="Q446" s="100"/>
      <c r="R446" s="101"/>
      <c r="T446" s="97">
        <v>9000</v>
      </c>
      <c r="U446" s="77">
        <v>8090</v>
      </c>
      <c r="V446" s="77">
        <v>12070</v>
      </c>
    </row>
    <row r="447" spans="1:23" ht="15.75" thickBot="1">
      <c r="A447" s="108"/>
      <c r="B447" s="22" t="s">
        <v>136</v>
      </c>
      <c r="C447" s="23">
        <f t="shared" ref="C447:K447" si="145">IF(((C445="")*AND(C446="")),"",(C445-C446)*3)</f>
        <v>9685.6499999999978</v>
      </c>
      <c r="D447" s="23">
        <f t="shared" si="145"/>
        <v>9875.2200000000048</v>
      </c>
      <c r="E447" s="23">
        <f t="shared" si="145"/>
        <v>9755.52</v>
      </c>
      <c r="F447" s="23">
        <f t="shared" si="145"/>
        <v>10212.239999999994</v>
      </c>
      <c r="G447" s="23">
        <f t="shared" si="145"/>
        <v>10401.209999999999</v>
      </c>
      <c r="H447" s="23">
        <f t="shared" si="145"/>
        <v>9304.77</v>
      </c>
      <c r="I447" s="23">
        <f t="shared" si="145"/>
        <v>9871.1400000000031</v>
      </c>
      <c r="J447" s="23">
        <f t="shared" si="145"/>
        <v>10158.48</v>
      </c>
      <c r="K447" s="23">
        <f t="shared" si="145"/>
        <v>10052.010000000006</v>
      </c>
      <c r="L447" s="103"/>
      <c r="M447" s="103"/>
      <c r="N447" s="103"/>
      <c r="O447" s="103"/>
      <c r="P447" s="103"/>
      <c r="Q447" s="104"/>
      <c r="R447" s="105"/>
      <c r="T447" s="97">
        <v>9000</v>
      </c>
      <c r="U447" s="77">
        <v>8090</v>
      </c>
      <c r="V447" s="77">
        <v>12070</v>
      </c>
    </row>
    <row r="448" spans="1:23">
      <c r="A448" s="110">
        <v>43203</v>
      </c>
      <c r="B448" s="21" t="s">
        <v>133</v>
      </c>
      <c r="C448" s="77">
        <v>29195.040000000001</v>
      </c>
      <c r="D448" s="77">
        <v>29017.99</v>
      </c>
      <c r="E448" s="77">
        <v>29078.97</v>
      </c>
      <c r="F448" s="77">
        <v>29031.33</v>
      </c>
      <c r="G448" s="77">
        <v>29195.24</v>
      </c>
      <c r="H448" s="77">
        <v>29181.06</v>
      </c>
      <c r="I448" s="77">
        <v>29019.83</v>
      </c>
      <c r="J448" s="77">
        <v>29020.46</v>
      </c>
      <c r="K448" s="77">
        <v>29243.78</v>
      </c>
      <c r="L448" s="24">
        <f>IF((K449=""),"",MAX(C450:K450))</f>
        <v>9323.8500000000022</v>
      </c>
      <c r="M448" s="24">
        <f>IF(K449="","",MIN(C450:K450))</f>
        <v>8204.52</v>
      </c>
      <c r="N448" s="24">
        <f>IF((K450=""),"",AVERAGE(C450:K450))</f>
        <v>9006.0366666666687</v>
      </c>
      <c r="O448" s="24">
        <f>IF((K449=""),"",STDEV(C450:K450))</f>
        <v>337.4711793620591</v>
      </c>
      <c r="P448" s="24">
        <f>IF((K449=""),"",O448/N448*100)</f>
        <v>3.7471663935270718</v>
      </c>
      <c r="Q448" s="26" t="str">
        <f>IF(K449="","",IF(P448&lt;15,IF(N448&gt;9000,IF(N448&lt;15600,"Pass","Fail"),"Fail"),"Fail"))</f>
        <v>Pass</v>
      </c>
      <c r="R448" s="113">
        <v>102</v>
      </c>
      <c r="S448" s="77" t="s">
        <v>200</v>
      </c>
      <c r="T448" s="97">
        <v>9000</v>
      </c>
      <c r="U448" s="77">
        <v>8090</v>
      </c>
      <c r="V448" s="77">
        <v>12070</v>
      </c>
      <c r="W448" s="77">
        <v>6</v>
      </c>
    </row>
    <row r="449" spans="1:23">
      <c r="A449" s="107"/>
      <c r="B449" s="21" t="s">
        <v>135</v>
      </c>
      <c r="C449" s="77">
        <v>26120.720000000001</v>
      </c>
      <c r="D449" s="77">
        <v>25973.1</v>
      </c>
      <c r="E449" s="77">
        <v>26088.66</v>
      </c>
      <c r="F449" s="77">
        <v>25979.27</v>
      </c>
      <c r="G449" s="77">
        <v>26204.37</v>
      </c>
      <c r="H449" s="77">
        <v>26446.22</v>
      </c>
      <c r="I449" s="77">
        <v>26074.04</v>
      </c>
      <c r="J449" s="77">
        <v>25912.51</v>
      </c>
      <c r="K449" s="77">
        <v>26166.7</v>
      </c>
      <c r="L449" s="99"/>
      <c r="M449" s="99"/>
      <c r="N449" s="99"/>
      <c r="O449" s="99"/>
      <c r="P449" s="99"/>
      <c r="Q449" s="100"/>
      <c r="R449" s="101"/>
      <c r="T449" s="97">
        <v>9000</v>
      </c>
      <c r="U449" s="77">
        <v>8090</v>
      </c>
      <c r="V449" s="77">
        <v>12070</v>
      </c>
    </row>
    <row r="450" spans="1:23" ht="15.75" thickBot="1">
      <c r="A450" s="108"/>
      <c r="B450" s="22" t="s">
        <v>136</v>
      </c>
      <c r="C450" s="23">
        <f t="shared" ref="C450:K450" si="146">IF(((C448="")*AND(C449="")),"",(C448-C449)*3)</f>
        <v>9222.9599999999991</v>
      </c>
      <c r="D450" s="23">
        <f t="shared" si="146"/>
        <v>9134.6700000000092</v>
      </c>
      <c r="E450" s="23">
        <f t="shared" si="146"/>
        <v>8970.9300000000039</v>
      </c>
      <c r="F450" s="23">
        <f t="shared" si="146"/>
        <v>9156.1800000000039</v>
      </c>
      <c r="G450" s="23">
        <f t="shared" si="146"/>
        <v>8972.6100000000079</v>
      </c>
      <c r="H450" s="23">
        <f t="shared" si="146"/>
        <v>8204.52</v>
      </c>
      <c r="I450" s="23">
        <f t="shared" si="146"/>
        <v>8837.3700000000026</v>
      </c>
      <c r="J450" s="23">
        <f t="shared" si="146"/>
        <v>9323.8500000000022</v>
      </c>
      <c r="K450" s="23">
        <f t="shared" si="146"/>
        <v>9231.2399999999943</v>
      </c>
      <c r="L450" s="103"/>
      <c r="M450" s="103"/>
      <c r="N450" s="103"/>
      <c r="O450" s="103"/>
      <c r="P450" s="103"/>
      <c r="Q450" s="104"/>
      <c r="R450" s="105"/>
      <c r="T450" s="97">
        <v>9000</v>
      </c>
      <c r="U450" s="77">
        <v>8090</v>
      </c>
      <c r="V450" s="77">
        <v>12070</v>
      </c>
    </row>
    <row r="451" spans="1:23">
      <c r="A451" s="110">
        <v>43203</v>
      </c>
      <c r="B451" s="21" t="s">
        <v>133</v>
      </c>
      <c r="C451" s="77">
        <v>29139.43</v>
      </c>
      <c r="D451" s="77">
        <v>28951.439999999999</v>
      </c>
      <c r="E451" s="77">
        <v>28948.82</v>
      </c>
      <c r="F451" s="77">
        <v>28975.83</v>
      </c>
      <c r="G451" s="77">
        <v>29204.13</v>
      </c>
      <c r="H451" s="77">
        <v>29132.34</v>
      </c>
      <c r="I451" s="77">
        <v>28950.18</v>
      </c>
      <c r="J451" s="77">
        <v>28961.56</v>
      </c>
      <c r="K451" s="77">
        <v>29172.03</v>
      </c>
      <c r="L451" s="24">
        <f>IF((K452=""),"",MAX(C453:K453))</f>
        <v>9764.9100000000035</v>
      </c>
      <c r="M451" s="24">
        <f>IF(K452="","",MIN(C453:K453))</f>
        <v>9199.6499999999978</v>
      </c>
      <c r="N451" s="24">
        <f>IF((K453=""),"",AVERAGE(C453:K453))</f>
        <v>9505.0499999999993</v>
      </c>
      <c r="O451" s="24">
        <f>IF((K452=""),"",STDEV(C453:K453))</f>
        <v>182.36820240937024</v>
      </c>
      <c r="P451" s="24">
        <f>IF((K452=""),"",O451/N451*100)</f>
        <v>1.9186453770297922</v>
      </c>
      <c r="Q451" s="26" t="str">
        <f>IF(K452="","",IF(P451&lt;15,IF(N451&gt;9000,IF(N451&lt;15600,"Pass","Fail"),"Fail"),"Fail"))</f>
        <v>Pass</v>
      </c>
      <c r="R451" s="113">
        <v>102</v>
      </c>
      <c r="T451" s="97">
        <v>9000</v>
      </c>
      <c r="U451" s="77">
        <v>8090</v>
      </c>
      <c r="V451" s="77">
        <v>12070</v>
      </c>
      <c r="W451" s="77">
        <v>6</v>
      </c>
    </row>
    <row r="452" spans="1:23">
      <c r="A452" s="107"/>
      <c r="B452" s="21" t="s">
        <v>135</v>
      </c>
      <c r="C452" s="77">
        <v>25884.46</v>
      </c>
      <c r="D452" s="77">
        <v>25884.89</v>
      </c>
      <c r="E452" s="77">
        <v>25847.54</v>
      </c>
      <c r="F452" s="77">
        <v>25756.49</v>
      </c>
      <c r="G452" s="77">
        <v>26047.61</v>
      </c>
      <c r="H452" s="77">
        <v>25945.599999999999</v>
      </c>
      <c r="I452" s="77">
        <v>25821.57</v>
      </c>
      <c r="J452" s="77">
        <v>25776.23</v>
      </c>
      <c r="K452" s="77">
        <v>25956.22</v>
      </c>
      <c r="L452" s="99"/>
      <c r="M452" s="99"/>
      <c r="N452" s="99"/>
      <c r="O452" s="99"/>
      <c r="P452" s="99"/>
      <c r="Q452" s="100"/>
      <c r="R452" s="101"/>
      <c r="T452" s="97">
        <v>9000</v>
      </c>
      <c r="U452" s="77">
        <v>8090</v>
      </c>
      <c r="V452" s="77">
        <v>12070</v>
      </c>
    </row>
    <row r="453" spans="1:23" ht="15.75" thickBot="1">
      <c r="A453" s="108"/>
      <c r="B453" s="22" t="s">
        <v>136</v>
      </c>
      <c r="C453" s="23">
        <f t="shared" ref="C453:K453" si="147">IF(((C451="")*AND(C452="")),"",(C451-C452)*3)</f>
        <v>9764.9100000000035</v>
      </c>
      <c r="D453" s="23">
        <f t="shared" si="147"/>
        <v>9199.6499999999978</v>
      </c>
      <c r="E453" s="23">
        <f t="shared" si="147"/>
        <v>9303.8399999999965</v>
      </c>
      <c r="F453" s="23">
        <f t="shared" si="147"/>
        <v>9658.02</v>
      </c>
      <c r="G453" s="23">
        <f t="shared" si="147"/>
        <v>9469.5600000000013</v>
      </c>
      <c r="H453" s="23">
        <f t="shared" si="147"/>
        <v>9560.2200000000048</v>
      </c>
      <c r="I453" s="23">
        <f t="shared" si="147"/>
        <v>9385.8300000000017</v>
      </c>
      <c r="J453" s="23">
        <f t="shared" si="147"/>
        <v>9555.9900000000052</v>
      </c>
      <c r="K453" s="23">
        <f t="shared" si="147"/>
        <v>9647.429999999993</v>
      </c>
      <c r="L453" s="103"/>
      <c r="M453" s="103"/>
      <c r="N453" s="103"/>
      <c r="O453" s="103"/>
      <c r="P453" s="103"/>
      <c r="Q453" s="104"/>
      <c r="R453" s="105"/>
      <c r="T453" s="97">
        <v>9000</v>
      </c>
      <c r="U453" s="77">
        <v>8090</v>
      </c>
      <c r="V453" s="77">
        <v>12070</v>
      </c>
    </row>
    <row r="454" spans="1:23">
      <c r="A454" s="110">
        <v>43209</v>
      </c>
      <c r="B454" s="21" t="s">
        <v>133</v>
      </c>
      <c r="C454" s="77">
        <v>29113.26</v>
      </c>
      <c r="D454" s="77">
        <v>28937.09</v>
      </c>
      <c r="E454" s="77">
        <v>28926.78</v>
      </c>
      <c r="F454" s="77">
        <v>28941.13</v>
      </c>
      <c r="G454" s="77">
        <v>29176.82</v>
      </c>
      <c r="H454" s="77">
        <v>29116.13</v>
      </c>
      <c r="I454" s="77">
        <v>28943.66</v>
      </c>
      <c r="J454" s="77">
        <v>28920.3</v>
      </c>
      <c r="K454" s="77">
        <v>29168.23</v>
      </c>
      <c r="L454" s="24">
        <f>IF((K455=""),"",MAX(C456:K456))</f>
        <v>8707.23</v>
      </c>
      <c r="M454" s="24">
        <f>IF(K455="","",MIN(C456:K456))</f>
        <v>7775.25</v>
      </c>
      <c r="N454" s="24">
        <f>IF((K456=""),"",AVERAGE(C456:K456))</f>
        <v>8415.2699999999986</v>
      </c>
      <c r="O454" s="24">
        <f>IF((K455=""),"",STDEV(C456:K456))</f>
        <v>270.67974891923944</v>
      </c>
      <c r="P454" s="24">
        <f>IF((K455=""),"",O454/N454*100)</f>
        <v>3.2165307698890171</v>
      </c>
      <c r="Q454" s="26" t="str">
        <f>IF(K455="","",IF(P454&lt;15,IF(N454&gt;9000,IF(N454&lt;15600,"Pass","Fail"),"Fail"),"Fail"))</f>
        <v>Fail</v>
      </c>
      <c r="R454" s="113">
        <v>1335</v>
      </c>
      <c r="T454" s="97">
        <v>9000</v>
      </c>
      <c r="U454" s="77">
        <v>8090</v>
      </c>
      <c r="V454" s="77">
        <v>12070</v>
      </c>
      <c r="W454" s="77">
        <v>6</v>
      </c>
    </row>
    <row r="455" spans="1:23">
      <c r="A455" s="107"/>
      <c r="B455" s="21" t="s">
        <v>135</v>
      </c>
      <c r="C455" s="77">
        <v>26521.51</v>
      </c>
      <c r="D455" s="77">
        <v>26150.74</v>
      </c>
      <c r="E455" s="77">
        <v>26109.15</v>
      </c>
      <c r="F455" s="77">
        <v>26038.720000000001</v>
      </c>
      <c r="G455" s="77">
        <v>26348.59</v>
      </c>
      <c r="H455" s="77">
        <v>26354.799999999999</v>
      </c>
      <c r="I455" s="77">
        <v>26075.02</v>
      </c>
      <c r="J455" s="77">
        <v>26076.14</v>
      </c>
      <c r="K455" s="77">
        <v>26322.92</v>
      </c>
      <c r="L455" s="99"/>
      <c r="M455" s="99"/>
      <c r="N455" s="99"/>
      <c r="O455" s="99"/>
      <c r="P455" s="99"/>
      <c r="Q455" s="100"/>
      <c r="R455" s="101"/>
      <c r="T455" s="97">
        <v>9000</v>
      </c>
      <c r="U455" s="77">
        <v>8090</v>
      </c>
      <c r="V455" s="77">
        <v>12070</v>
      </c>
    </row>
    <row r="456" spans="1:23" ht="15.75" thickBot="1">
      <c r="A456" s="108"/>
      <c r="B456" s="22" t="s">
        <v>136</v>
      </c>
      <c r="C456" s="23">
        <f t="shared" ref="C456:K456" si="148">IF(((C454="")*AND(C455="")),"",(C454-C455)*3)</f>
        <v>7775.25</v>
      </c>
      <c r="D456" s="23">
        <f t="shared" si="148"/>
        <v>8359.0499999999956</v>
      </c>
      <c r="E456" s="23">
        <f t="shared" si="148"/>
        <v>8452.8899999999921</v>
      </c>
      <c r="F456" s="23">
        <f t="shared" si="148"/>
        <v>8707.23</v>
      </c>
      <c r="G456" s="23">
        <f t="shared" si="148"/>
        <v>8484.6899999999987</v>
      </c>
      <c r="H456" s="23">
        <f t="shared" si="148"/>
        <v>8283.9900000000052</v>
      </c>
      <c r="I456" s="23">
        <f t="shared" si="148"/>
        <v>8605.9199999999983</v>
      </c>
      <c r="J456" s="23">
        <f t="shared" si="148"/>
        <v>8532.48</v>
      </c>
      <c r="K456" s="23">
        <f t="shared" si="148"/>
        <v>8535.9300000000039</v>
      </c>
      <c r="L456" s="103"/>
      <c r="M456" s="103"/>
      <c r="N456" s="103"/>
      <c r="O456" s="103"/>
      <c r="P456" s="103"/>
      <c r="Q456" s="104"/>
      <c r="R456" s="105"/>
      <c r="T456" s="97">
        <v>9000</v>
      </c>
      <c r="U456" s="77">
        <v>8090</v>
      </c>
      <c r="V456" s="77">
        <v>12070</v>
      </c>
    </row>
    <row r="457" spans="1:23">
      <c r="A457" s="110">
        <v>43209</v>
      </c>
      <c r="B457" s="21" t="s">
        <v>133</v>
      </c>
      <c r="C457" s="77">
        <v>29018.639999999999</v>
      </c>
      <c r="D457" s="77">
        <v>28921.45</v>
      </c>
      <c r="E457" s="77">
        <v>28982.04</v>
      </c>
      <c r="F457" s="77">
        <v>28923.32</v>
      </c>
      <c r="G457" s="77">
        <v>29116.04</v>
      </c>
      <c r="H457" s="77">
        <v>29076.49</v>
      </c>
      <c r="I457" s="77">
        <v>28925.37</v>
      </c>
      <c r="J457" s="77">
        <v>28929.21</v>
      </c>
      <c r="K457" s="77">
        <v>29184.46</v>
      </c>
      <c r="L457" s="24">
        <f>IF((K458=""),"",MAX(C459:K459))</f>
        <v>10816.379999999997</v>
      </c>
      <c r="M457" s="24">
        <f>IF(K458="","",MIN(C459:K459))</f>
        <v>9940.4699999999939</v>
      </c>
      <c r="N457" s="24">
        <f>IF((K459=""),"",AVERAGE(C459:K459))</f>
        <v>10507.396666666667</v>
      </c>
      <c r="O457" s="24">
        <f>IF((K458=""),"",STDEV(C459:K459))</f>
        <v>285.71342250585275</v>
      </c>
      <c r="P457" s="24">
        <f>IF((K458=""),"",O457/N457*100)</f>
        <v>2.7191647138652431</v>
      </c>
      <c r="Q457" s="26" t="str">
        <f>IF(K458="","",IF(P457&lt;15,IF(N457&gt;9000,IF(N457&lt;15600,"Pass","Fail"),"Fail"),"Fail"))</f>
        <v>Pass</v>
      </c>
      <c r="R457" s="113">
        <v>1335</v>
      </c>
      <c r="T457" s="97">
        <v>9000</v>
      </c>
      <c r="U457" s="77">
        <v>8090</v>
      </c>
      <c r="V457" s="77">
        <v>12070</v>
      </c>
      <c r="W457" s="77">
        <v>6</v>
      </c>
    </row>
    <row r="458" spans="1:23">
      <c r="A458" s="107"/>
      <c r="B458" s="21" t="s">
        <v>135</v>
      </c>
      <c r="C458" s="77">
        <v>25705.15</v>
      </c>
      <c r="D458" s="77">
        <v>25446.84</v>
      </c>
      <c r="E458" s="77">
        <v>25488.5</v>
      </c>
      <c r="F458" s="77">
        <v>25346.79</v>
      </c>
      <c r="G458" s="77">
        <v>25534.92</v>
      </c>
      <c r="H458" s="77">
        <v>25676.19</v>
      </c>
      <c r="I458" s="77">
        <v>25405.1</v>
      </c>
      <c r="J458" s="77">
        <v>25372.34</v>
      </c>
      <c r="K458" s="77">
        <v>25579</v>
      </c>
      <c r="L458" s="99"/>
      <c r="M458" s="99"/>
      <c r="N458" s="99"/>
      <c r="O458" s="99"/>
      <c r="P458" s="99"/>
      <c r="Q458" s="100"/>
      <c r="R458" s="101"/>
      <c r="T458" s="97">
        <v>9000</v>
      </c>
      <c r="U458" s="77">
        <v>8090</v>
      </c>
      <c r="V458" s="77">
        <v>12070</v>
      </c>
    </row>
    <row r="459" spans="1:23" ht="15.75" thickBot="1">
      <c r="A459" s="108"/>
      <c r="B459" s="22" t="s">
        <v>136</v>
      </c>
      <c r="C459" s="23">
        <f t="shared" ref="C459:K459" si="149">IF(((C457="")*AND(C458="")),"",(C457-C458)*3)</f>
        <v>9940.4699999999939</v>
      </c>
      <c r="D459" s="23">
        <f t="shared" si="149"/>
        <v>10423.830000000002</v>
      </c>
      <c r="E459" s="23">
        <f t="shared" si="149"/>
        <v>10480.620000000003</v>
      </c>
      <c r="F459" s="23">
        <f t="shared" si="149"/>
        <v>10729.589999999997</v>
      </c>
      <c r="G459" s="23">
        <f t="shared" si="149"/>
        <v>10743.360000000008</v>
      </c>
      <c r="H459" s="23">
        <f t="shared" si="149"/>
        <v>10200.900000000009</v>
      </c>
      <c r="I459" s="23">
        <f t="shared" si="149"/>
        <v>10560.810000000001</v>
      </c>
      <c r="J459" s="23">
        <f t="shared" si="149"/>
        <v>10670.609999999997</v>
      </c>
      <c r="K459" s="23">
        <f t="shared" si="149"/>
        <v>10816.379999999997</v>
      </c>
      <c r="L459" s="103"/>
      <c r="M459" s="103"/>
      <c r="N459" s="103"/>
      <c r="O459" s="103"/>
      <c r="P459" s="103"/>
      <c r="Q459" s="104"/>
      <c r="R459" s="105"/>
      <c r="T459" s="97">
        <v>9000</v>
      </c>
      <c r="U459" s="77">
        <v>8090</v>
      </c>
      <c r="V459" s="77">
        <v>12070</v>
      </c>
    </row>
    <row r="460" spans="1:23">
      <c r="A460" s="110">
        <v>43214</v>
      </c>
      <c r="B460" s="21" t="s">
        <v>133</v>
      </c>
      <c r="C460" s="77">
        <v>29061.48</v>
      </c>
      <c r="D460" s="77">
        <v>28888.73</v>
      </c>
      <c r="E460" s="77">
        <v>28872.94</v>
      </c>
      <c r="F460" s="77">
        <v>28900.81</v>
      </c>
      <c r="G460" s="77">
        <v>29127</v>
      </c>
      <c r="H460" s="77">
        <v>29057.15</v>
      </c>
      <c r="I460" s="77">
        <v>28884.400000000001</v>
      </c>
      <c r="J460" s="77">
        <v>28885.360000000001</v>
      </c>
      <c r="K460" s="77">
        <v>29109.38</v>
      </c>
      <c r="L460" s="24">
        <f>IF((K461=""),"",MAX(C462:K462))</f>
        <v>10392.839999999997</v>
      </c>
      <c r="M460" s="24">
        <f>IF(K461="","",MIN(C462:K462))</f>
        <v>9407.820000000007</v>
      </c>
      <c r="N460" s="24">
        <f>IF((K462=""),"",AVERAGE(C462:K462))</f>
        <v>10084.436666666668</v>
      </c>
      <c r="O460" s="24">
        <f>IF((K461=""),"",STDEV(C462:K462))</f>
        <v>304.15075801318267</v>
      </c>
      <c r="P460" s="24">
        <f>IF((K461=""),"",O460/N460*100)</f>
        <v>3.0160411341421742</v>
      </c>
      <c r="Q460" s="26" t="str">
        <f>IF(K461="","",IF(P460&lt;15,IF(N460&gt;9000,IF(N460&lt;15600,"Pass","Fail"),"Fail"),"Fail"))</f>
        <v>Pass</v>
      </c>
      <c r="R460" s="113">
        <v>121</v>
      </c>
      <c r="T460" s="97">
        <v>9000</v>
      </c>
      <c r="U460" s="77">
        <v>8090</v>
      </c>
      <c r="V460" s="77">
        <v>12070</v>
      </c>
      <c r="W460" s="77">
        <v>6</v>
      </c>
    </row>
    <row r="461" spans="1:23">
      <c r="A461" s="107"/>
      <c r="B461" s="21" t="s">
        <v>135</v>
      </c>
      <c r="C461" s="77">
        <v>25597.200000000001</v>
      </c>
      <c r="D461" s="77">
        <v>25466.13</v>
      </c>
      <c r="E461" s="77">
        <v>25521.63</v>
      </c>
      <c r="F461" s="77">
        <v>25520.66</v>
      </c>
      <c r="G461" s="77">
        <v>25825.87</v>
      </c>
      <c r="H461" s="77">
        <v>25921.21</v>
      </c>
      <c r="I461" s="77">
        <v>25560.67</v>
      </c>
      <c r="J461" s="77">
        <v>25441</v>
      </c>
      <c r="K461" s="77">
        <v>25679.57</v>
      </c>
      <c r="L461" s="99"/>
      <c r="M461" s="99"/>
      <c r="N461" s="99"/>
      <c r="O461" s="99"/>
      <c r="P461" s="99"/>
      <c r="Q461" s="100"/>
      <c r="R461" s="101"/>
      <c r="T461" s="97">
        <v>9000</v>
      </c>
      <c r="U461" s="77">
        <v>8090</v>
      </c>
      <c r="V461" s="77">
        <v>12070</v>
      </c>
    </row>
    <row r="462" spans="1:23" ht="15.75" thickBot="1">
      <c r="A462" s="108"/>
      <c r="B462" s="22" t="s">
        <v>136</v>
      </c>
      <c r="C462" s="23">
        <f t="shared" ref="C462:K462" si="150">IF(((C460="")*AND(C461="")),"",(C460-C461)*3)</f>
        <v>10392.839999999997</v>
      </c>
      <c r="D462" s="23">
        <f t="shared" si="150"/>
        <v>10267.799999999996</v>
      </c>
      <c r="E462" s="23">
        <f t="shared" si="150"/>
        <v>10053.929999999993</v>
      </c>
      <c r="F462" s="23">
        <f t="shared" si="150"/>
        <v>10140.450000000004</v>
      </c>
      <c r="G462" s="23">
        <f t="shared" si="150"/>
        <v>9903.3900000000031</v>
      </c>
      <c r="H462" s="23">
        <f t="shared" si="150"/>
        <v>9407.820000000007</v>
      </c>
      <c r="I462" s="23">
        <f t="shared" si="150"/>
        <v>9971.1900000000096</v>
      </c>
      <c r="J462" s="23">
        <f t="shared" si="150"/>
        <v>10333.080000000002</v>
      </c>
      <c r="K462" s="23">
        <f t="shared" si="150"/>
        <v>10289.430000000004</v>
      </c>
      <c r="L462" s="103"/>
      <c r="M462" s="103"/>
      <c r="N462" s="103"/>
      <c r="O462" s="103"/>
      <c r="P462" s="103"/>
      <c r="Q462" s="104"/>
      <c r="R462" s="105"/>
      <c r="T462" s="97">
        <v>9000</v>
      </c>
      <c r="U462" s="77">
        <v>8090</v>
      </c>
      <c r="V462" s="77">
        <v>12070</v>
      </c>
    </row>
    <row r="463" spans="1:23">
      <c r="A463" s="110">
        <v>43217</v>
      </c>
      <c r="B463" s="21" t="s">
        <v>133</v>
      </c>
      <c r="C463" s="77">
        <v>29202.57</v>
      </c>
      <c r="D463" s="77">
        <v>29057.37</v>
      </c>
      <c r="E463" s="77">
        <v>29112.81</v>
      </c>
      <c r="F463" s="77">
        <v>29052.35</v>
      </c>
      <c r="G463" s="77">
        <v>29273.93</v>
      </c>
      <c r="H463" s="77">
        <v>29177.46</v>
      </c>
      <c r="I463" s="77">
        <v>29036.23</v>
      </c>
      <c r="J463" s="77">
        <v>29058.18</v>
      </c>
      <c r="K463" s="77">
        <v>29321.06</v>
      </c>
      <c r="L463" s="24">
        <f>IF((K464=""),"",MAX(C465:K465))</f>
        <v>7227.4199999999983</v>
      </c>
      <c r="M463" s="24">
        <f>IF(K464="","",MIN(C465:K465))</f>
        <v>6357.6899999999987</v>
      </c>
      <c r="N463" s="24">
        <f>IF((K465=""),"",AVERAGE(C465:K465))</f>
        <v>6959.9733333333324</v>
      </c>
      <c r="O463" s="24">
        <f>IF((K464=""),"",STDEV(C465:K465))</f>
        <v>273.22314236719239</v>
      </c>
      <c r="P463" s="24">
        <f>IF((K464=""),"",O463/N463*100)</f>
        <v>3.9256349023443446</v>
      </c>
      <c r="Q463" s="26" t="str">
        <f>IF(K464="","",IF(P463&lt;15,IF(N463&gt;9000,IF(N463&lt;15600,"Pass","Fail"),"Fail"),"Fail"))</f>
        <v>Fail</v>
      </c>
      <c r="R463" s="118" t="s">
        <v>228</v>
      </c>
      <c r="S463" s="77" t="s">
        <v>229</v>
      </c>
      <c r="T463" s="97">
        <v>9000</v>
      </c>
      <c r="U463" s="77">
        <v>8090</v>
      </c>
      <c r="V463" s="77">
        <v>12070</v>
      </c>
      <c r="W463" s="77">
        <v>6</v>
      </c>
    </row>
    <row r="464" spans="1:23">
      <c r="A464" s="107"/>
      <c r="B464" s="21" t="s">
        <v>135</v>
      </c>
      <c r="C464" s="77">
        <v>26909.88</v>
      </c>
      <c r="D464" s="77">
        <v>26745.25</v>
      </c>
      <c r="E464" s="77">
        <v>26805.97</v>
      </c>
      <c r="F464" s="77">
        <v>26643.21</v>
      </c>
      <c r="G464" s="77">
        <v>26866.27</v>
      </c>
      <c r="H464" s="77">
        <v>27058.23</v>
      </c>
      <c r="I464" s="77">
        <v>26758.95</v>
      </c>
      <c r="J464" s="77">
        <v>26658.3</v>
      </c>
      <c r="K464" s="77">
        <v>26965.98</v>
      </c>
      <c r="L464" s="99"/>
      <c r="M464" s="99"/>
      <c r="N464" s="99"/>
      <c r="O464" s="99"/>
      <c r="P464" s="99"/>
      <c r="Q464" s="100"/>
      <c r="R464" s="122"/>
      <c r="T464" s="97">
        <v>9000</v>
      </c>
      <c r="U464" s="77">
        <v>8090</v>
      </c>
      <c r="V464" s="77">
        <v>12070</v>
      </c>
    </row>
    <row r="465" spans="1:23" ht="15.75" thickBot="1">
      <c r="A465" s="108"/>
      <c r="B465" s="22" t="s">
        <v>136</v>
      </c>
      <c r="C465" s="23">
        <f t="shared" ref="C465:K465" si="151">IF(((C463="")*AND(C464="")),"",(C463-C464)*3)</f>
        <v>6878.0699999999961</v>
      </c>
      <c r="D465" s="23">
        <f t="shared" si="151"/>
        <v>6936.3599999999969</v>
      </c>
      <c r="E465" s="23">
        <f t="shared" si="151"/>
        <v>6920.52</v>
      </c>
      <c r="F465" s="23">
        <f t="shared" si="151"/>
        <v>7227.4199999999983</v>
      </c>
      <c r="G465" s="23">
        <f t="shared" si="151"/>
        <v>7222.98</v>
      </c>
      <c r="H465" s="23">
        <f t="shared" si="151"/>
        <v>6357.6899999999987</v>
      </c>
      <c r="I465" s="23">
        <f t="shared" si="151"/>
        <v>6831.8399999999965</v>
      </c>
      <c r="J465" s="23">
        <f t="shared" si="151"/>
        <v>7199.6400000000031</v>
      </c>
      <c r="K465" s="23">
        <f t="shared" si="151"/>
        <v>7065.2400000000052</v>
      </c>
      <c r="L465" s="103"/>
      <c r="M465" s="103"/>
      <c r="N465" s="103"/>
      <c r="O465" s="103"/>
      <c r="P465" s="103"/>
      <c r="Q465" s="104"/>
      <c r="R465" s="123"/>
      <c r="T465" s="97">
        <v>9000</v>
      </c>
      <c r="U465" s="77">
        <v>8090</v>
      </c>
      <c r="V465" s="77">
        <v>12070</v>
      </c>
    </row>
    <row r="466" spans="1:23">
      <c r="A466" s="110">
        <v>43217</v>
      </c>
      <c r="B466" s="21" t="s">
        <v>133</v>
      </c>
      <c r="C466" s="77">
        <v>29156.43</v>
      </c>
      <c r="D466" s="77">
        <v>28973.74</v>
      </c>
      <c r="E466" s="77">
        <v>28974.080000000002</v>
      </c>
      <c r="F466" s="77">
        <v>28983.09</v>
      </c>
      <c r="G466" s="77">
        <v>29187.53</v>
      </c>
      <c r="H466" s="77">
        <v>29144.28</v>
      </c>
      <c r="I466" s="77">
        <v>28962.86</v>
      </c>
      <c r="J466" s="77">
        <v>28990.42</v>
      </c>
      <c r="K466" s="77">
        <v>29227.71</v>
      </c>
      <c r="L466" s="24">
        <f>IF((K467=""),"",MAX(C468:K468))</f>
        <v>9463.5</v>
      </c>
      <c r="M466" s="24">
        <f>IF(K467="","",MIN(C468:K468))</f>
        <v>8052.9899999999943</v>
      </c>
      <c r="N466" s="24">
        <f>IF((K468=""),"",AVERAGE(C468:K468))</f>
        <v>9017.5166666666701</v>
      </c>
      <c r="O466" s="24">
        <f>IF((K467=""),"",STDEV(C468:K468))</f>
        <v>425.54861061923356</v>
      </c>
      <c r="P466" s="24">
        <f>IF((K467=""),"",O466/N466*100)</f>
        <v>4.7191330645639695</v>
      </c>
      <c r="Q466" s="26" t="str">
        <f>IF(K467="","",IF(P466&lt;15,IF(N466&gt;9000,IF(N466&lt;15600,"Pass","Fail"),"Fail"),"Fail"))</f>
        <v>Pass</v>
      </c>
      <c r="R466" s="118" t="s">
        <v>228</v>
      </c>
      <c r="S466" s="77" t="s">
        <v>230</v>
      </c>
      <c r="T466" s="97">
        <v>9000</v>
      </c>
      <c r="U466" s="77">
        <v>8090</v>
      </c>
      <c r="V466" s="77">
        <v>12070</v>
      </c>
      <c r="W466" s="77">
        <v>6</v>
      </c>
    </row>
    <row r="467" spans="1:23">
      <c r="A467" s="107"/>
      <c r="B467" s="21" t="s">
        <v>135</v>
      </c>
      <c r="C467" s="77">
        <v>26093.1</v>
      </c>
      <c r="D467" s="77">
        <v>25916.91</v>
      </c>
      <c r="E467" s="77">
        <v>25969.82</v>
      </c>
      <c r="F467" s="77">
        <v>25925.200000000001</v>
      </c>
      <c r="G467" s="77">
        <v>26216.97</v>
      </c>
      <c r="H467" s="77">
        <v>26459.95</v>
      </c>
      <c r="I467" s="77">
        <v>26042.959999999999</v>
      </c>
      <c r="J467" s="77">
        <v>25835.919999999998</v>
      </c>
      <c r="K467" s="77">
        <v>26086.76</v>
      </c>
      <c r="L467" s="99"/>
      <c r="M467" s="99"/>
      <c r="N467" s="99"/>
      <c r="O467" s="99"/>
      <c r="P467" s="99"/>
      <c r="Q467" s="100"/>
      <c r="R467" s="122"/>
      <c r="T467" s="97">
        <v>9000</v>
      </c>
      <c r="U467" s="77">
        <v>8090</v>
      </c>
      <c r="V467" s="77">
        <v>12070</v>
      </c>
    </row>
    <row r="468" spans="1:23" ht="15.75" thickBot="1">
      <c r="A468" s="108"/>
      <c r="B468" s="22" t="s">
        <v>136</v>
      </c>
      <c r="C468" s="23">
        <f t="shared" ref="C468:K468" si="152">IF(((C466="")*AND(C467="")),"",(C466-C467)*3)</f>
        <v>9189.9900000000052</v>
      </c>
      <c r="D468" s="23">
        <f t="shared" si="152"/>
        <v>9170.4900000000052</v>
      </c>
      <c r="E468" s="23">
        <f t="shared" si="152"/>
        <v>9012.7800000000061</v>
      </c>
      <c r="F468" s="23">
        <f t="shared" si="152"/>
        <v>9173.6699999999983</v>
      </c>
      <c r="G468" s="23">
        <f t="shared" si="152"/>
        <v>8911.679999999993</v>
      </c>
      <c r="H468" s="23">
        <f t="shared" si="152"/>
        <v>8052.9899999999943</v>
      </c>
      <c r="I468" s="23">
        <f t="shared" si="152"/>
        <v>8759.7000000000044</v>
      </c>
      <c r="J468" s="23">
        <f t="shared" si="152"/>
        <v>9463.5</v>
      </c>
      <c r="K468" s="23">
        <f t="shared" si="152"/>
        <v>9422.8500000000022</v>
      </c>
      <c r="L468" s="103"/>
      <c r="M468" s="103"/>
      <c r="N468" s="103"/>
      <c r="O468" s="103"/>
      <c r="P468" s="103"/>
      <c r="Q468" s="104"/>
      <c r="R468" s="123"/>
      <c r="T468" s="97">
        <v>9000</v>
      </c>
      <c r="U468" s="77">
        <v>8090</v>
      </c>
      <c r="V468" s="77">
        <v>12070</v>
      </c>
    </row>
    <row r="469" spans="1:23">
      <c r="A469" s="110">
        <v>43217</v>
      </c>
      <c r="B469" s="21" t="s">
        <v>133</v>
      </c>
      <c r="C469" s="77">
        <v>29185.99</v>
      </c>
      <c r="D469" s="77">
        <v>29039.79</v>
      </c>
      <c r="E469" s="77">
        <v>29095.7</v>
      </c>
      <c r="F469" s="77">
        <v>29032.02</v>
      </c>
      <c r="G469" s="77">
        <v>29240.57</v>
      </c>
      <c r="H469" s="77">
        <v>29165.53</v>
      </c>
      <c r="I469" s="77">
        <v>29035.08</v>
      </c>
      <c r="J469" s="77">
        <v>29026.06</v>
      </c>
      <c r="K469" s="77">
        <v>29283.41</v>
      </c>
      <c r="L469" s="24">
        <f>IF((K470=""),"",MAX(C471:K471))</f>
        <v>10310.939999999999</v>
      </c>
      <c r="M469" s="24">
        <f>IF(K470="","",MIN(C471:K471))</f>
        <v>9164.7599999999948</v>
      </c>
      <c r="N469" s="24">
        <f>IF((K471=""),"",AVERAGE(C471:K471))</f>
        <v>9955.383333333335</v>
      </c>
      <c r="O469" s="24">
        <f>IF((K470=""),"",STDEV(C471:K471))</f>
        <v>380.75472639873607</v>
      </c>
      <c r="P469" s="24">
        <f>IF((K470=""),"",O469/N469*100)</f>
        <v>3.8246114052069249</v>
      </c>
      <c r="Q469" s="26" t="str">
        <f>IF(K470="","",IF(P469&lt;15,IF(N469&gt;9000,IF(N469&lt;15600,"Pass","Fail"),"Fail"),"Fail"))</f>
        <v>Pass</v>
      </c>
      <c r="R469" s="118" t="s">
        <v>228</v>
      </c>
      <c r="S469" s="77" t="s">
        <v>231</v>
      </c>
      <c r="T469" s="97">
        <v>9000</v>
      </c>
      <c r="U469" s="77">
        <v>8090</v>
      </c>
      <c r="V469" s="77">
        <v>12070</v>
      </c>
      <c r="W469" s="77">
        <v>6</v>
      </c>
    </row>
    <row r="470" spans="1:23">
      <c r="A470" s="107"/>
      <c r="B470" s="21" t="s">
        <v>135</v>
      </c>
      <c r="C470" s="77">
        <v>25775.52</v>
      </c>
      <c r="D470" s="77">
        <v>25624.52</v>
      </c>
      <c r="E470" s="77">
        <v>25741.4</v>
      </c>
      <c r="F470" s="77">
        <v>25697.63</v>
      </c>
      <c r="G470" s="77">
        <v>26063.25</v>
      </c>
      <c r="H470" s="77">
        <v>26110.61</v>
      </c>
      <c r="I470" s="77">
        <v>25743.98</v>
      </c>
      <c r="J470" s="77">
        <v>25589.08</v>
      </c>
      <c r="K470" s="77">
        <v>25892.01</v>
      </c>
      <c r="L470" s="99"/>
      <c r="M470" s="99"/>
      <c r="N470" s="99"/>
      <c r="O470" s="99"/>
      <c r="P470" s="99"/>
      <c r="Q470" s="100"/>
      <c r="R470" s="101"/>
      <c r="T470" s="97">
        <v>9000</v>
      </c>
      <c r="U470" s="77">
        <v>8090</v>
      </c>
      <c r="V470" s="77">
        <v>12070</v>
      </c>
    </row>
    <row r="471" spans="1:23" ht="15.75" thickBot="1">
      <c r="A471" s="108"/>
      <c r="B471" s="22" t="s">
        <v>136</v>
      </c>
      <c r="C471" s="23">
        <f t="shared" ref="C471:K471" si="153">IF(((C469="")*AND(C470="")),"",(C469-C470)*3)</f>
        <v>10231.410000000003</v>
      </c>
      <c r="D471" s="23">
        <f t="shared" si="153"/>
        <v>10245.810000000001</v>
      </c>
      <c r="E471" s="23">
        <f t="shared" si="153"/>
        <v>10062.899999999998</v>
      </c>
      <c r="F471" s="23">
        <f t="shared" si="153"/>
        <v>10003.169999999998</v>
      </c>
      <c r="G471" s="23">
        <f t="shared" si="153"/>
        <v>9531.9599999999991</v>
      </c>
      <c r="H471" s="23">
        <f t="shared" si="153"/>
        <v>9164.7599999999948</v>
      </c>
      <c r="I471" s="23">
        <f t="shared" si="153"/>
        <v>9873.3000000000065</v>
      </c>
      <c r="J471" s="23">
        <f t="shared" si="153"/>
        <v>10310.939999999999</v>
      </c>
      <c r="K471" s="23">
        <f t="shared" si="153"/>
        <v>10174.200000000004</v>
      </c>
      <c r="L471" s="103"/>
      <c r="M471" s="103"/>
      <c r="N471" s="103"/>
      <c r="O471" s="103"/>
      <c r="P471" s="103"/>
      <c r="Q471" s="104"/>
      <c r="R471" s="105"/>
      <c r="T471" s="97">
        <v>9000</v>
      </c>
      <c r="U471" s="77">
        <v>8090</v>
      </c>
      <c r="V471" s="77">
        <v>12070</v>
      </c>
    </row>
    <row r="472" spans="1:23">
      <c r="A472" s="110">
        <v>43217</v>
      </c>
      <c r="B472" s="21" t="s">
        <v>133</v>
      </c>
      <c r="C472" s="77">
        <v>29398.37</v>
      </c>
      <c r="D472" s="77">
        <v>29196.11</v>
      </c>
      <c r="E472" s="77">
        <v>29187.48</v>
      </c>
      <c r="F472" s="77">
        <v>29201.78</v>
      </c>
      <c r="G472" s="77">
        <v>29414.720000000001</v>
      </c>
      <c r="H472" s="77">
        <v>29376.91</v>
      </c>
      <c r="I472" s="77">
        <v>29194.38</v>
      </c>
      <c r="J472" s="77">
        <v>29188.44</v>
      </c>
      <c r="K472" s="77">
        <v>29430.76</v>
      </c>
      <c r="L472" s="24">
        <f>IF((K473=""),"",MAX(C474:K474))</f>
        <v>8679.8999999999978</v>
      </c>
      <c r="M472" s="24">
        <f>IF(K473="","",MIN(C474:K474))</f>
        <v>7845.4499999999935</v>
      </c>
      <c r="N472" s="24">
        <f>IF((K474=""),"",AVERAGE(C474:K474))</f>
        <v>8383.6699999999983</v>
      </c>
      <c r="O472" s="24">
        <f>IF((K473=""),"",STDEV(C474:K474))</f>
        <v>243.05649111889247</v>
      </c>
      <c r="P472" s="24">
        <f>IF((K473=""),"",O472/N472*100)</f>
        <v>2.8991657724945346</v>
      </c>
      <c r="Q472" s="26" t="str">
        <f>IF(K473="","",IF(P472&lt;15,IF(N472&gt;9000,IF(N472&lt;15600,"Pass","Fail"),"Fail"),"Fail"))</f>
        <v>Fail</v>
      </c>
      <c r="R472" s="118">
        <v>1159</v>
      </c>
      <c r="S472" s="77" t="s">
        <v>232</v>
      </c>
      <c r="T472" s="97">
        <v>9000</v>
      </c>
      <c r="U472" s="77">
        <v>8090</v>
      </c>
      <c r="V472" s="77">
        <v>12070</v>
      </c>
      <c r="W472" s="77">
        <v>6</v>
      </c>
    </row>
    <row r="473" spans="1:23">
      <c r="A473" s="107"/>
      <c r="B473" s="21" t="s">
        <v>135</v>
      </c>
      <c r="C473" s="77">
        <v>26783.22</v>
      </c>
      <c r="D473" s="77">
        <v>26410.29</v>
      </c>
      <c r="E473" s="77">
        <v>26414.53</v>
      </c>
      <c r="F473" s="77">
        <v>26341.18</v>
      </c>
      <c r="G473" s="77">
        <v>26638.78</v>
      </c>
      <c r="H473" s="77">
        <v>26612.43</v>
      </c>
      <c r="I473" s="77">
        <v>26357.09</v>
      </c>
      <c r="J473" s="77">
        <v>26342.959999999999</v>
      </c>
      <c r="K473" s="77">
        <v>26537.46</v>
      </c>
      <c r="L473" s="99"/>
      <c r="M473" s="99"/>
      <c r="N473" s="99"/>
      <c r="O473" s="99"/>
      <c r="P473" s="99"/>
      <c r="Q473" s="100"/>
      <c r="R473" s="122"/>
      <c r="T473" s="97">
        <v>9000</v>
      </c>
      <c r="U473" s="77">
        <v>8090</v>
      </c>
      <c r="V473" s="77">
        <v>12070</v>
      </c>
    </row>
    <row r="474" spans="1:23" ht="15.75" thickBot="1">
      <c r="A474" s="108"/>
      <c r="B474" s="22" t="s">
        <v>136</v>
      </c>
      <c r="C474" s="23">
        <f t="shared" ref="C474:K474" si="154">IF(((C472="")*AND(C473="")),"",(C472-C473)*3)</f>
        <v>7845.4499999999935</v>
      </c>
      <c r="D474" s="23">
        <f t="shared" si="154"/>
        <v>8357.4599999999991</v>
      </c>
      <c r="E474" s="23">
        <f t="shared" si="154"/>
        <v>8318.8500000000022</v>
      </c>
      <c r="F474" s="23">
        <f t="shared" si="154"/>
        <v>8581.7999999999956</v>
      </c>
      <c r="G474" s="23">
        <f t="shared" si="154"/>
        <v>8327.820000000007</v>
      </c>
      <c r="H474" s="23">
        <f t="shared" si="154"/>
        <v>8293.4399999999987</v>
      </c>
      <c r="I474" s="23">
        <f t="shared" si="154"/>
        <v>8511.8700000000026</v>
      </c>
      <c r="J474" s="23">
        <f t="shared" si="154"/>
        <v>8536.4399999999987</v>
      </c>
      <c r="K474" s="23">
        <f t="shared" si="154"/>
        <v>8679.8999999999978</v>
      </c>
      <c r="L474" s="103"/>
      <c r="M474" s="103"/>
      <c r="N474" s="103"/>
      <c r="O474" s="103"/>
      <c r="P474" s="103"/>
      <c r="Q474" s="104"/>
      <c r="R474" s="123"/>
      <c r="T474" s="97">
        <v>9000</v>
      </c>
      <c r="U474" s="77">
        <v>8090</v>
      </c>
      <c r="V474" s="77">
        <v>12070</v>
      </c>
    </row>
    <row r="475" spans="1:23">
      <c r="A475" s="110">
        <v>43217</v>
      </c>
      <c r="B475" s="21" t="s">
        <v>133</v>
      </c>
      <c r="C475" s="77">
        <v>29394.9</v>
      </c>
      <c r="D475" s="77">
        <v>29211.21</v>
      </c>
      <c r="E475" s="77">
        <v>29279.119999999999</v>
      </c>
      <c r="F475" s="77">
        <v>29226.639999999999</v>
      </c>
      <c r="G475" s="77">
        <v>29421.09</v>
      </c>
      <c r="H475" s="77">
        <v>29367.13</v>
      </c>
      <c r="I475" s="77">
        <v>29195.919999999998</v>
      </c>
      <c r="J475" s="77">
        <v>29220.21</v>
      </c>
      <c r="K475" s="77">
        <v>29429.919999999998</v>
      </c>
      <c r="L475" s="24">
        <f>IF((K476=""),"",MAX(C477:K477))</f>
        <v>13234.5</v>
      </c>
      <c r="M475" s="24">
        <f>IF(K476="","",MIN(C477:K477))</f>
        <v>11888.760000000006</v>
      </c>
      <c r="N475" s="24">
        <f>IF((K477=""),"",AVERAGE(C477:K477))</f>
        <v>12729.463333333335</v>
      </c>
      <c r="O475" s="24">
        <f>IF((K476=""),"",STDEV(C477:K477))</f>
        <v>480.21071385381765</v>
      </c>
      <c r="P475" s="24">
        <f>IF((K476=""),"",O475/N475*100)</f>
        <v>3.772434872382556</v>
      </c>
      <c r="Q475" s="26" t="str">
        <f>IF(K476="","",IF(P475&lt;15,IF(N475&gt;9000,IF(N475&lt;15600,"Pass","Fail"),"Fail"),"Fail"))</f>
        <v>Pass</v>
      </c>
      <c r="R475" s="118">
        <v>1159</v>
      </c>
      <c r="S475" s="77" t="s">
        <v>233</v>
      </c>
      <c r="T475" s="97">
        <v>9000</v>
      </c>
      <c r="U475" s="77">
        <v>8090</v>
      </c>
      <c r="V475" s="77">
        <v>12070</v>
      </c>
      <c r="W475" s="77">
        <v>6</v>
      </c>
    </row>
    <row r="476" spans="1:23">
      <c r="A476" s="107"/>
      <c r="B476" s="21" t="s">
        <v>135</v>
      </c>
      <c r="C476" s="77">
        <v>25399.94</v>
      </c>
      <c r="D476" s="77">
        <v>24954.46</v>
      </c>
      <c r="E476" s="77">
        <v>24949.09</v>
      </c>
      <c r="F476" s="77">
        <v>24815.14</v>
      </c>
      <c r="G476" s="77">
        <v>25161.5</v>
      </c>
      <c r="H476" s="77">
        <v>25404.21</v>
      </c>
      <c r="I476" s="77">
        <v>24940.75</v>
      </c>
      <c r="J476" s="77">
        <v>24832.81</v>
      </c>
      <c r="K476" s="77">
        <v>25099.85</v>
      </c>
      <c r="L476" s="99"/>
      <c r="M476" s="99"/>
      <c r="N476" s="99"/>
      <c r="O476" s="99"/>
      <c r="P476" s="99"/>
      <c r="Q476" s="100"/>
      <c r="R476" s="122"/>
      <c r="T476" s="97">
        <v>9000</v>
      </c>
      <c r="U476" s="77">
        <v>8090</v>
      </c>
      <c r="V476" s="77">
        <v>12070</v>
      </c>
    </row>
    <row r="477" spans="1:23" ht="15.75" thickBot="1">
      <c r="A477" s="108"/>
      <c r="B477" s="22" t="s">
        <v>136</v>
      </c>
      <c r="C477" s="23">
        <f t="shared" ref="C477:K477" si="155">IF(((C475="")*AND(C476="")),"",(C475-C476)*3)</f>
        <v>11984.880000000008</v>
      </c>
      <c r="D477" s="23">
        <f t="shared" si="155"/>
        <v>12770.25</v>
      </c>
      <c r="E477" s="23">
        <f t="shared" si="155"/>
        <v>12990.089999999997</v>
      </c>
      <c r="F477" s="23">
        <f t="shared" si="155"/>
        <v>13234.5</v>
      </c>
      <c r="G477" s="23">
        <f t="shared" si="155"/>
        <v>12778.77</v>
      </c>
      <c r="H477" s="23">
        <f t="shared" si="155"/>
        <v>11888.760000000006</v>
      </c>
      <c r="I477" s="23">
        <f t="shared" si="155"/>
        <v>12765.509999999995</v>
      </c>
      <c r="J477" s="23">
        <f t="shared" si="155"/>
        <v>13162.199999999993</v>
      </c>
      <c r="K477" s="23">
        <f t="shared" si="155"/>
        <v>12990.21</v>
      </c>
      <c r="L477" s="103"/>
      <c r="M477" s="103"/>
      <c r="N477" s="103"/>
      <c r="O477" s="103"/>
      <c r="P477" s="103"/>
      <c r="Q477" s="104"/>
      <c r="R477" s="123"/>
      <c r="T477" s="97">
        <v>9000</v>
      </c>
      <c r="U477" s="77">
        <v>8090</v>
      </c>
      <c r="V477" s="77">
        <v>12070</v>
      </c>
    </row>
    <row r="478" spans="1:23">
      <c r="A478" s="110">
        <v>43219</v>
      </c>
      <c r="B478" s="21" t="s">
        <v>133</v>
      </c>
      <c r="C478" s="77">
        <v>29160.94</v>
      </c>
      <c r="D478" s="77">
        <v>29021.85</v>
      </c>
      <c r="E478" s="77">
        <v>29083.14</v>
      </c>
      <c r="F478" s="77">
        <v>29031.05</v>
      </c>
      <c r="G478" s="77">
        <v>29264.21</v>
      </c>
      <c r="H478" s="77">
        <v>29145.48</v>
      </c>
      <c r="I478" s="77">
        <v>29014.44</v>
      </c>
      <c r="J478" s="77">
        <v>29041.43</v>
      </c>
      <c r="K478" s="77">
        <v>29307.38</v>
      </c>
      <c r="L478" s="24">
        <f>IF((K479=""),"",MAX(C480:K480))</f>
        <v>9580.4100000000035</v>
      </c>
      <c r="M478" s="24">
        <f>IF(K479="","",MIN(C480:K480))</f>
        <v>8349.48</v>
      </c>
      <c r="N478" s="24">
        <f>IF((K480=""),"",AVERAGE(C480:K480))</f>
        <v>9151.6533333333282</v>
      </c>
      <c r="O478" s="24">
        <f>IF((K479=""),"",STDEV(C480:K480))</f>
        <v>371.25196255378296</v>
      </c>
      <c r="P478" s="24">
        <f>IF((K479=""),"",O478/N478*100)</f>
        <v>4.0566654901749972</v>
      </c>
      <c r="Q478" s="26" t="str">
        <f>IF(K479="","",IF(P478&lt;15,IF(N478&gt;9000,IF(N478&lt;15600,"Pass","Fail"),"Fail"),"Fail"))</f>
        <v>Pass</v>
      </c>
      <c r="R478" s="118">
        <v>121</v>
      </c>
      <c r="S478" s="92" t="s">
        <v>234</v>
      </c>
      <c r="T478" s="97">
        <v>9000</v>
      </c>
      <c r="U478" s="77">
        <v>8090</v>
      </c>
      <c r="V478" s="77">
        <v>12070</v>
      </c>
      <c r="W478" s="77">
        <v>6</v>
      </c>
    </row>
    <row r="479" spans="1:23">
      <c r="A479" s="107"/>
      <c r="B479" s="21" t="s">
        <v>135</v>
      </c>
      <c r="C479" s="77">
        <v>26377.78</v>
      </c>
      <c r="D479" s="77">
        <v>26016.31</v>
      </c>
      <c r="E479" s="77">
        <v>26027.32</v>
      </c>
      <c r="F479" s="77">
        <v>25879.9</v>
      </c>
      <c r="G479" s="77">
        <v>26164.52</v>
      </c>
      <c r="H479" s="77">
        <v>26182.65</v>
      </c>
      <c r="I479" s="77">
        <v>25952.06</v>
      </c>
      <c r="J479" s="77">
        <v>25900.51</v>
      </c>
      <c r="K479" s="77">
        <v>26113.91</v>
      </c>
      <c r="L479" s="99"/>
      <c r="M479" s="99"/>
      <c r="N479" s="99"/>
      <c r="O479" s="99"/>
      <c r="P479" s="99"/>
      <c r="Q479" s="100"/>
      <c r="R479" s="101"/>
      <c r="T479" s="97">
        <v>9000</v>
      </c>
      <c r="U479" s="77">
        <v>8090</v>
      </c>
      <c r="V479" s="77">
        <v>12070</v>
      </c>
    </row>
    <row r="480" spans="1:23" ht="15.75" thickBot="1">
      <c r="A480" s="108"/>
      <c r="B480" s="22" t="s">
        <v>136</v>
      </c>
      <c r="C480" s="23">
        <f t="shared" ref="C480:K480" si="156">IF(((C478="")*AND(C479="")),"",(C478-C479)*3)</f>
        <v>8349.48</v>
      </c>
      <c r="D480" s="23">
        <f t="shared" si="156"/>
        <v>9016.6199999999917</v>
      </c>
      <c r="E480" s="23">
        <f t="shared" si="156"/>
        <v>9167.4599999999991</v>
      </c>
      <c r="F480" s="23">
        <f t="shared" si="156"/>
        <v>9453.4499999999935</v>
      </c>
      <c r="G480" s="23">
        <f t="shared" si="156"/>
        <v>9299.0699999999961</v>
      </c>
      <c r="H480" s="23">
        <f t="shared" si="156"/>
        <v>8888.4899999999943</v>
      </c>
      <c r="I480" s="23">
        <f t="shared" si="156"/>
        <v>9187.1399999999921</v>
      </c>
      <c r="J480" s="23">
        <f t="shared" si="156"/>
        <v>9422.7600000000057</v>
      </c>
      <c r="K480" s="23">
        <f t="shared" si="156"/>
        <v>9580.4100000000035</v>
      </c>
      <c r="L480" s="103"/>
      <c r="M480" s="103"/>
      <c r="N480" s="103"/>
      <c r="O480" s="103"/>
      <c r="P480" s="103"/>
      <c r="Q480" s="104"/>
      <c r="R480" s="105"/>
      <c r="T480" s="97">
        <v>9000</v>
      </c>
      <c r="U480" s="77">
        <v>8090</v>
      </c>
      <c r="V480" s="77">
        <v>12070</v>
      </c>
    </row>
    <row r="481" spans="1:23">
      <c r="A481" s="110">
        <v>43219</v>
      </c>
      <c r="B481" s="21" t="s">
        <v>133</v>
      </c>
      <c r="C481" s="77">
        <v>29000.48</v>
      </c>
      <c r="D481" s="77">
        <v>28851.26</v>
      </c>
      <c r="E481" s="77">
        <v>28847.57</v>
      </c>
      <c r="F481" s="77">
        <v>28867.1</v>
      </c>
      <c r="G481" s="77">
        <v>29106.54</v>
      </c>
      <c r="H481" s="77">
        <v>29036.63</v>
      </c>
      <c r="I481" s="77">
        <v>28852.34</v>
      </c>
      <c r="J481" s="77">
        <v>28858.28</v>
      </c>
      <c r="K481" s="77">
        <v>29083.43</v>
      </c>
      <c r="L481" s="24">
        <f>IF((K482=""),"",MAX(C483:K483))</f>
        <v>9170.8499999999913</v>
      </c>
      <c r="M481" s="24">
        <f>IF(K482="","",MIN(C483:K483))</f>
        <v>8038.1099999999969</v>
      </c>
      <c r="N481" s="24">
        <f>IF((K483=""),"",AVERAGE(C483:K483))</f>
        <v>8832.2333333333299</v>
      </c>
      <c r="O481" s="24">
        <f>IF((K482=""),"",STDEV(C483:K483))</f>
        <v>351.35585959963038</v>
      </c>
      <c r="P481" s="24">
        <f>IF((K482=""),"",O481/N481*100)</f>
        <v>3.9781088920465244</v>
      </c>
      <c r="Q481" s="26" t="str">
        <f>IF(K482="","",IF(P481&lt;15,IF(N481&gt;9000,IF(N481&lt;15600,"Pass","Fail"),"Fail"),"Fail"))</f>
        <v>Fail</v>
      </c>
      <c r="R481" s="118">
        <v>121</v>
      </c>
      <c r="S481" s="77" t="s">
        <v>234</v>
      </c>
      <c r="T481" s="97">
        <v>9000</v>
      </c>
      <c r="U481" s="77">
        <v>8090</v>
      </c>
      <c r="V481" s="77">
        <v>12070</v>
      </c>
      <c r="W481" s="77">
        <v>6</v>
      </c>
    </row>
    <row r="482" spans="1:23">
      <c r="A482" s="107"/>
      <c r="B482" s="21" t="s">
        <v>135</v>
      </c>
      <c r="C482" s="77">
        <v>26321.11</v>
      </c>
      <c r="D482" s="77">
        <v>25959.77</v>
      </c>
      <c r="E482" s="77">
        <v>25881.21</v>
      </c>
      <c r="F482" s="77">
        <v>25810.15</v>
      </c>
      <c r="G482" s="77">
        <v>26090.66</v>
      </c>
      <c r="H482" s="77">
        <v>26166.54</v>
      </c>
      <c r="I482" s="77">
        <v>25880.31</v>
      </c>
      <c r="J482" s="77">
        <v>25839.5</v>
      </c>
      <c r="K482" s="77">
        <v>26057.68</v>
      </c>
      <c r="L482" s="99"/>
      <c r="M482" s="99"/>
      <c r="N482" s="99"/>
      <c r="O482" s="99"/>
      <c r="P482" s="99"/>
      <c r="Q482" s="100"/>
      <c r="R482" s="101"/>
      <c r="T482" s="97">
        <v>9000</v>
      </c>
      <c r="U482" s="77">
        <v>8090</v>
      </c>
      <c r="V482" s="77">
        <v>12070</v>
      </c>
    </row>
    <row r="483" spans="1:23" ht="15.75" thickBot="1">
      <c r="A483" s="108"/>
      <c r="B483" s="22" t="s">
        <v>136</v>
      </c>
      <c r="C483" s="23">
        <f t="shared" ref="C483:K483" si="157">IF(((C481="")*AND(C482="")),"",(C481-C482)*3)</f>
        <v>8038.1099999999969</v>
      </c>
      <c r="D483" s="23">
        <f t="shared" si="157"/>
        <v>8674.4699999999939</v>
      </c>
      <c r="E483" s="23">
        <f t="shared" si="157"/>
        <v>8899.0800000000017</v>
      </c>
      <c r="F483" s="23">
        <f t="shared" si="157"/>
        <v>9170.8499999999913</v>
      </c>
      <c r="G483" s="23">
        <f t="shared" si="157"/>
        <v>9047.6400000000031</v>
      </c>
      <c r="H483" s="23">
        <f t="shared" si="157"/>
        <v>8610.27</v>
      </c>
      <c r="I483" s="23">
        <f t="shared" si="157"/>
        <v>8916.0899999999965</v>
      </c>
      <c r="J483" s="23">
        <f t="shared" si="157"/>
        <v>9056.3399999999965</v>
      </c>
      <c r="K483" s="23">
        <f t="shared" si="157"/>
        <v>9077.25</v>
      </c>
      <c r="L483" s="103"/>
      <c r="M483" s="103"/>
      <c r="N483" s="103"/>
      <c r="O483" s="103"/>
      <c r="P483" s="103"/>
      <c r="Q483" s="104"/>
      <c r="R483" s="105"/>
      <c r="T483" s="97">
        <v>9000</v>
      </c>
      <c r="U483" s="77">
        <v>8090</v>
      </c>
      <c r="V483" s="77">
        <v>12070</v>
      </c>
    </row>
    <row r="484" spans="1:23">
      <c r="A484" s="110">
        <v>43219</v>
      </c>
      <c r="B484" s="21" t="s">
        <v>133</v>
      </c>
      <c r="C484" s="77">
        <v>29213.49</v>
      </c>
      <c r="D484" s="77">
        <v>29023.55</v>
      </c>
      <c r="E484" s="77">
        <v>29009.439999999999</v>
      </c>
      <c r="F484" s="77">
        <v>29017.03</v>
      </c>
      <c r="G484" s="77">
        <v>29242.92</v>
      </c>
      <c r="H484" s="77">
        <v>29183.11</v>
      </c>
      <c r="I484" s="77">
        <v>29020.61</v>
      </c>
      <c r="J484" s="77">
        <v>29023.59</v>
      </c>
      <c r="K484" s="77">
        <v>29244.31</v>
      </c>
      <c r="L484" s="24">
        <f>IF((K485=""),"",MAX(C486:K486))</f>
        <v>10897.200000000004</v>
      </c>
      <c r="M484" s="24">
        <f>IF(K485="","",MIN(C486:K486))</f>
        <v>10010.070000000007</v>
      </c>
      <c r="N484" s="24">
        <f>IF((K486=""),"",AVERAGE(C486:K486))</f>
        <v>10585.34666666667</v>
      </c>
      <c r="O484" s="24">
        <f>IF((K485=""),"",STDEV(C486:K486))</f>
        <v>277.38554563093101</v>
      </c>
      <c r="P484" s="24">
        <f>IF((K485=""),"",O484/N484*100)</f>
        <v>2.6204672776983298</v>
      </c>
      <c r="Q484" s="26" t="str">
        <f>IF(K485="","",IF(P484&lt;15,IF(N484&gt;9000,IF(N484&lt;15600,"Pass","Fail"),"Fail"),"Fail"))</f>
        <v>Pass</v>
      </c>
      <c r="R484" s="118">
        <v>64</v>
      </c>
      <c r="T484" s="97">
        <v>9000</v>
      </c>
      <c r="U484" s="77">
        <v>8090</v>
      </c>
      <c r="V484" s="77">
        <v>12070</v>
      </c>
      <c r="W484" s="77">
        <v>6</v>
      </c>
    </row>
    <row r="485" spans="1:23">
      <c r="A485" s="107"/>
      <c r="B485" s="21" t="s">
        <v>135</v>
      </c>
      <c r="C485" s="77">
        <v>25876.799999999999</v>
      </c>
      <c r="D485" s="77">
        <v>25497.79</v>
      </c>
      <c r="E485" s="77">
        <v>25456.92</v>
      </c>
      <c r="F485" s="77">
        <v>25413.69</v>
      </c>
      <c r="G485" s="77">
        <v>25716.92</v>
      </c>
      <c r="H485" s="77">
        <v>25749.15</v>
      </c>
      <c r="I485" s="77">
        <v>25477.7</v>
      </c>
      <c r="J485" s="77">
        <v>25421.13</v>
      </c>
      <c r="K485" s="77">
        <v>25611.91</v>
      </c>
      <c r="L485" s="99"/>
      <c r="M485" s="99"/>
      <c r="N485" s="99"/>
      <c r="O485" s="99"/>
      <c r="P485" s="99"/>
      <c r="Q485" s="100"/>
      <c r="R485" s="101"/>
      <c r="T485" s="97">
        <v>9000</v>
      </c>
      <c r="U485" s="77">
        <v>8090</v>
      </c>
      <c r="V485" s="77">
        <v>12070</v>
      </c>
    </row>
    <row r="486" spans="1:23" ht="15.75" thickBot="1">
      <c r="A486" s="108"/>
      <c r="B486" s="22" t="s">
        <v>136</v>
      </c>
      <c r="C486" s="23">
        <f t="shared" ref="C486:K486" si="158">IF(((C484="")*AND(C485="")),"",(C484-C485)*3)</f>
        <v>10010.070000000007</v>
      </c>
      <c r="D486" s="23">
        <f t="shared" si="158"/>
        <v>10577.279999999995</v>
      </c>
      <c r="E486" s="23">
        <f t="shared" si="158"/>
        <v>10657.560000000001</v>
      </c>
      <c r="F486" s="23">
        <f t="shared" si="158"/>
        <v>10810.02</v>
      </c>
      <c r="G486" s="23">
        <f t="shared" si="158"/>
        <v>10578</v>
      </c>
      <c r="H486" s="23">
        <f t="shared" si="158"/>
        <v>10301.879999999997</v>
      </c>
      <c r="I486" s="23">
        <f t="shared" si="158"/>
        <v>10628.73</v>
      </c>
      <c r="J486" s="23">
        <f t="shared" si="158"/>
        <v>10807.379999999997</v>
      </c>
      <c r="K486" s="23">
        <f t="shared" si="158"/>
        <v>10897.200000000004</v>
      </c>
      <c r="L486" s="103"/>
      <c r="M486" s="103"/>
      <c r="N486" s="103"/>
      <c r="O486" s="103"/>
      <c r="P486" s="103"/>
      <c r="Q486" s="104"/>
      <c r="R486" s="105"/>
      <c r="T486" s="97">
        <v>9000</v>
      </c>
      <c r="U486" s="77">
        <v>8090</v>
      </c>
      <c r="V486" s="77">
        <v>12070</v>
      </c>
    </row>
    <row r="487" spans="1:23">
      <c r="A487" s="110">
        <v>43221</v>
      </c>
      <c r="B487" s="21" t="s">
        <v>133</v>
      </c>
      <c r="C487" s="77">
        <v>29377.24</v>
      </c>
      <c r="D487" s="77">
        <v>29193.15</v>
      </c>
      <c r="E487" s="77">
        <v>29156.32</v>
      </c>
      <c r="F487" s="77">
        <v>29156.98</v>
      </c>
      <c r="G487" s="77">
        <v>29384.62</v>
      </c>
      <c r="H487" s="77">
        <v>29326.04</v>
      </c>
      <c r="I487" s="77">
        <v>29164.45</v>
      </c>
      <c r="J487" s="77">
        <v>29173.5</v>
      </c>
      <c r="K487" s="77">
        <v>29388.86</v>
      </c>
      <c r="L487" s="24">
        <f>IF((K488=""),"",MAX(C489:K489))</f>
        <v>9862.7399999999943</v>
      </c>
      <c r="M487" s="24">
        <f>IF(K488="","",MIN(C489:K489))</f>
        <v>9054.1500000000087</v>
      </c>
      <c r="N487" s="24">
        <f>IF((K489=""),"",AVERAGE(C489:K489))</f>
        <v>9649.16</v>
      </c>
      <c r="O487" s="24">
        <f>IF((K488=""),"",STDEV(C489:K489))</f>
        <v>251.41189634743608</v>
      </c>
      <c r="P487" s="24">
        <f>IF((K488=""),"",O487/N487*100)</f>
        <v>2.6055314280977422</v>
      </c>
      <c r="Q487" s="26" t="str">
        <f>IF(K488="","",IF(P487&lt;15,IF(N487&gt;9000,IF(N487&lt;15600,"Pass","Fail"),"Fail"),"Fail"))</f>
        <v>Pass</v>
      </c>
      <c r="R487" s="118">
        <v>1159</v>
      </c>
      <c r="S487" s="77" t="s">
        <v>235</v>
      </c>
      <c r="T487" s="97">
        <v>9000</v>
      </c>
      <c r="U487" s="77">
        <v>8090</v>
      </c>
      <c r="V487" s="77">
        <v>12070</v>
      </c>
      <c r="W487" s="77">
        <v>6</v>
      </c>
    </row>
    <row r="488" spans="1:23">
      <c r="A488" s="107"/>
      <c r="B488" s="21" t="s">
        <v>135</v>
      </c>
      <c r="C488" s="77">
        <v>26359.19</v>
      </c>
      <c r="D488" s="77">
        <v>25990.51</v>
      </c>
      <c r="E488" s="77">
        <v>25964.59</v>
      </c>
      <c r="F488" s="77">
        <v>25869.4</v>
      </c>
      <c r="G488" s="77">
        <v>26131.29</v>
      </c>
      <c r="H488" s="77">
        <v>26039.51</v>
      </c>
      <c r="I488" s="77">
        <v>25882.9</v>
      </c>
      <c r="J488" s="77">
        <v>25945.83</v>
      </c>
      <c r="K488" s="77">
        <v>26190.46</v>
      </c>
      <c r="L488" s="99"/>
      <c r="M488" s="99"/>
      <c r="N488" s="99"/>
      <c r="O488" s="99"/>
      <c r="P488" s="99"/>
      <c r="Q488" s="100"/>
      <c r="R488" s="101"/>
      <c r="S488" s="77" t="s">
        <v>236</v>
      </c>
      <c r="T488" s="97">
        <v>9000</v>
      </c>
      <c r="U488" s="77">
        <v>8090</v>
      </c>
      <c r="V488" s="77">
        <v>12070</v>
      </c>
    </row>
    <row r="489" spans="1:23" ht="15.75" thickBot="1">
      <c r="A489" s="108"/>
      <c r="B489" s="22" t="s">
        <v>136</v>
      </c>
      <c r="C489" s="23">
        <f t="shared" ref="C489:K489" si="159">IF(((C487="")*AND(C488="")),"",(C487-C488)*3)</f>
        <v>9054.1500000000087</v>
      </c>
      <c r="D489" s="23">
        <f t="shared" si="159"/>
        <v>9607.9200000000092</v>
      </c>
      <c r="E489" s="23">
        <f t="shared" si="159"/>
        <v>9575.1899999999987</v>
      </c>
      <c r="F489" s="23">
        <f t="shared" si="159"/>
        <v>9862.7399999999943</v>
      </c>
      <c r="G489" s="23">
        <f t="shared" si="159"/>
        <v>9759.9899999999943</v>
      </c>
      <c r="H489" s="23">
        <f t="shared" si="159"/>
        <v>9859.5900000000074</v>
      </c>
      <c r="I489" s="23">
        <f t="shared" si="159"/>
        <v>9844.6499999999978</v>
      </c>
      <c r="J489" s="23">
        <f t="shared" si="159"/>
        <v>9683.0099999999948</v>
      </c>
      <c r="K489" s="23">
        <f t="shared" si="159"/>
        <v>9595.2000000000044</v>
      </c>
      <c r="L489" s="103"/>
      <c r="M489" s="103"/>
      <c r="N489" s="103"/>
      <c r="O489" s="103"/>
      <c r="P489" s="103"/>
      <c r="Q489" s="104"/>
      <c r="R489" s="105"/>
      <c r="T489" s="97">
        <v>9000</v>
      </c>
      <c r="U489" s="77">
        <v>8090</v>
      </c>
      <c r="V489" s="77">
        <v>12070</v>
      </c>
    </row>
    <row r="490" spans="1:23">
      <c r="A490" s="110">
        <v>43225</v>
      </c>
      <c r="B490" s="21" t="s">
        <v>133</v>
      </c>
      <c r="C490" s="77">
        <v>29366.81</v>
      </c>
      <c r="D490" s="77">
        <v>29154.13</v>
      </c>
      <c r="E490" s="77">
        <v>29217.02</v>
      </c>
      <c r="F490" s="77">
        <v>29139.97</v>
      </c>
      <c r="G490" s="77">
        <v>29323.9</v>
      </c>
      <c r="H490" s="77">
        <v>29340.84</v>
      </c>
      <c r="I490" s="77">
        <v>29131.23</v>
      </c>
      <c r="J490" s="77">
        <v>29130.71</v>
      </c>
      <c r="K490" s="77">
        <v>29335.37</v>
      </c>
      <c r="L490" s="24">
        <f>IF((K491=""),"",MAX(C492:K492))</f>
        <v>9082.320000000007</v>
      </c>
      <c r="M490" s="24">
        <f>IF(K491="","",MIN(C492:K492))</f>
        <v>7945.5600000000013</v>
      </c>
      <c r="N490" s="24">
        <f>IF((K492=""),"",AVERAGE(C492:K492))</f>
        <v>8703.0166666666682</v>
      </c>
      <c r="O490" s="24">
        <f>IF((K491=""),"",STDEV(C492:K492))</f>
        <v>361.4801394268236</v>
      </c>
      <c r="P490" s="24">
        <f>IF((K491=""),"",O490/N490*100)</f>
        <v>4.1535039317036455</v>
      </c>
      <c r="Q490" s="26" t="str">
        <f>IF(K491="","",IF(P490&lt;15,IF(N490&gt;9000,IF(N490&lt;15600,"Pass","Fail"),"Fail"),"Fail"))</f>
        <v>Fail</v>
      </c>
      <c r="R490" s="118">
        <v>1519</v>
      </c>
      <c r="T490" s="97">
        <v>9000</v>
      </c>
      <c r="U490" s="77">
        <v>8090</v>
      </c>
      <c r="V490" s="77">
        <v>12070</v>
      </c>
      <c r="W490" s="77">
        <v>6</v>
      </c>
    </row>
    <row r="491" spans="1:23">
      <c r="A491" s="107"/>
      <c r="B491" s="21" t="s">
        <v>135</v>
      </c>
      <c r="C491" s="77">
        <v>26536.17</v>
      </c>
      <c r="D491" s="77">
        <v>26275.79</v>
      </c>
      <c r="E491" s="77">
        <v>26322.05</v>
      </c>
      <c r="F491" s="77">
        <v>26112.53</v>
      </c>
      <c r="G491" s="77">
        <v>26307.62</v>
      </c>
      <c r="H491" s="77">
        <v>26692.32</v>
      </c>
      <c r="I491" s="77">
        <v>26286.27</v>
      </c>
      <c r="J491" s="77">
        <v>26127.73</v>
      </c>
      <c r="K491" s="77">
        <v>26370.45</v>
      </c>
      <c r="L491" s="99"/>
      <c r="M491" s="99"/>
      <c r="N491" s="99"/>
      <c r="O491" s="99"/>
      <c r="P491" s="99"/>
      <c r="Q491" s="100"/>
      <c r="R491" s="101"/>
      <c r="T491" s="97">
        <v>9000</v>
      </c>
      <c r="U491" s="77">
        <v>8090</v>
      </c>
      <c r="V491" s="77">
        <v>12070</v>
      </c>
    </row>
    <row r="492" spans="1:23" ht="15.75" thickBot="1">
      <c r="A492" s="108"/>
      <c r="B492" s="22" t="s">
        <v>136</v>
      </c>
      <c r="C492" s="23">
        <f t="shared" ref="C492:K492" si="160">IF(((C490="")*AND(C491="")),"",(C490-C491)*3)</f>
        <v>8491.9200000000092</v>
      </c>
      <c r="D492" s="23">
        <f t="shared" si="160"/>
        <v>8635.02</v>
      </c>
      <c r="E492" s="23">
        <f t="shared" si="160"/>
        <v>8684.9100000000035</v>
      </c>
      <c r="F492" s="23">
        <f t="shared" si="160"/>
        <v>9082.320000000007</v>
      </c>
      <c r="G492" s="23">
        <f t="shared" si="160"/>
        <v>9048.8400000000074</v>
      </c>
      <c r="H492" s="23">
        <f t="shared" si="160"/>
        <v>7945.5600000000013</v>
      </c>
      <c r="I492" s="23">
        <f t="shared" si="160"/>
        <v>8534.8799999999974</v>
      </c>
      <c r="J492" s="23">
        <f t="shared" si="160"/>
        <v>9008.9399999999987</v>
      </c>
      <c r="K492" s="23">
        <f t="shared" si="160"/>
        <v>8894.7599999999948</v>
      </c>
      <c r="L492" s="103"/>
      <c r="M492" s="103"/>
      <c r="N492" s="103"/>
      <c r="O492" s="103"/>
      <c r="P492" s="103"/>
      <c r="Q492" s="104"/>
      <c r="R492" s="105"/>
      <c r="T492" s="97">
        <v>9000</v>
      </c>
      <c r="U492" s="77">
        <v>8090</v>
      </c>
      <c r="V492" s="77">
        <v>12070</v>
      </c>
    </row>
    <row r="493" spans="1:23">
      <c r="A493" s="110">
        <v>43225</v>
      </c>
      <c r="B493" s="21" t="s">
        <v>133</v>
      </c>
      <c r="C493" s="77">
        <v>29340.21</v>
      </c>
      <c r="D493" s="77">
        <v>29165.81</v>
      </c>
      <c r="E493" s="77">
        <v>29168.21</v>
      </c>
      <c r="F493" s="77">
        <v>29166.98</v>
      </c>
      <c r="G493" s="77">
        <v>29383.22</v>
      </c>
      <c r="H493" s="77">
        <v>29352.7</v>
      </c>
      <c r="I493" s="77">
        <v>29161.08</v>
      </c>
      <c r="J493" s="77">
        <v>29152.84</v>
      </c>
      <c r="K493" s="77">
        <v>29385.08</v>
      </c>
      <c r="L493" s="24">
        <f>IF((K494=""),"",MAX(C495:K495))</f>
        <v>9192.1800000000039</v>
      </c>
      <c r="M493" s="24">
        <f>IF(K494="","",MIN(C495:K495))</f>
        <v>7996.6499999999978</v>
      </c>
      <c r="N493" s="24">
        <f>IF((K495=""),"",AVERAGE(C495:K495))</f>
        <v>8870.760000000002</v>
      </c>
      <c r="O493" s="24">
        <f>IF((K494=""),"",STDEV(C495:K495))</f>
        <v>368.42710344110549</v>
      </c>
      <c r="P493" s="24">
        <f>IF((K494=""),"",O493/N493*100)</f>
        <v>4.1532755191337092</v>
      </c>
      <c r="Q493" s="26" t="str">
        <f>IF(K494="","",IF(P493&lt;15,IF(N493&gt;9000,IF(N493&lt;15600,"Pass","Fail"),"Fail"),"Fail"))</f>
        <v>Fail</v>
      </c>
      <c r="R493" s="118">
        <v>1519</v>
      </c>
      <c r="T493" s="97">
        <v>9000</v>
      </c>
      <c r="U493" s="77">
        <v>8090</v>
      </c>
      <c r="V493" s="77">
        <v>12070</v>
      </c>
      <c r="W493" s="77">
        <v>6</v>
      </c>
    </row>
    <row r="494" spans="1:23">
      <c r="A494" s="107"/>
      <c r="B494" s="21" t="s">
        <v>135</v>
      </c>
      <c r="C494" s="77">
        <v>26388.82</v>
      </c>
      <c r="D494" s="77">
        <v>26205.34</v>
      </c>
      <c r="E494" s="77">
        <v>26219.46</v>
      </c>
      <c r="F494" s="77">
        <v>26102.92</v>
      </c>
      <c r="G494" s="77">
        <v>26352.87</v>
      </c>
      <c r="H494" s="77">
        <v>26687.15</v>
      </c>
      <c r="I494" s="77">
        <v>26258.07</v>
      </c>
      <c r="J494" s="77">
        <v>26091.39</v>
      </c>
      <c r="K494" s="77">
        <v>26357.83</v>
      </c>
      <c r="L494" s="99"/>
      <c r="M494" s="99"/>
      <c r="N494" s="99"/>
      <c r="O494" s="99"/>
      <c r="P494" s="99"/>
      <c r="Q494" s="100"/>
      <c r="R494" s="101"/>
      <c r="T494" s="97">
        <v>9000</v>
      </c>
      <c r="U494" s="77">
        <v>8090</v>
      </c>
      <c r="V494" s="77">
        <v>12070</v>
      </c>
    </row>
    <row r="495" spans="1:23" ht="15.75" thickBot="1">
      <c r="A495" s="108"/>
      <c r="B495" s="22" t="s">
        <v>136</v>
      </c>
      <c r="C495" s="23">
        <f t="shared" ref="C495:K495" si="161">IF(((C493="")*AND(C494="")),"",(C493-C494)*3)</f>
        <v>8854.1699999999983</v>
      </c>
      <c r="D495" s="23">
        <f t="shared" si="161"/>
        <v>8881.4100000000035</v>
      </c>
      <c r="E495" s="23">
        <f t="shared" si="161"/>
        <v>8846.25</v>
      </c>
      <c r="F495" s="23">
        <f t="shared" si="161"/>
        <v>9192.1800000000039</v>
      </c>
      <c r="G495" s="23">
        <f t="shared" si="161"/>
        <v>9091.0500000000065</v>
      </c>
      <c r="H495" s="23">
        <f t="shared" si="161"/>
        <v>7996.6499999999978</v>
      </c>
      <c r="I495" s="23">
        <f t="shared" si="161"/>
        <v>8709.0300000000061</v>
      </c>
      <c r="J495" s="23">
        <f t="shared" si="161"/>
        <v>9184.3500000000022</v>
      </c>
      <c r="K495" s="23">
        <f t="shared" si="161"/>
        <v>9081.75</v>
      </c>
      <c r="L495" s="103"/>
      <c r="M495" s="103"/>
      <c r="N495" s="103"/>
      <c r="O495" s="103"/>
      <c r="P495" s="103"/>
      <c r="Q495" s="104"/>
      <c r="R495" s="105"/>
      <c r="T495" s="97">
        <v>9000</v>
      </c>
      <c r="U495" s="77">
        <v>8090</v>
      </c>
      <c r="V495" s="77">
        <v>12070</v>
      </c>
    </row>
    <row r="496" spans="1:23">
      <c r="A496" s="110">
        <v>43227</v>
      </c>
      <c r="B496" s="21" t="s">
        <v>133</v>
      </c>
      <c r="C496" s="77">
        <v>29351.08</v>
      </c>
      <c r="D496" s="77">
        <v>29183.18</v>
      </c>
      <c r="E496" s="77">
        <v>29171.8</v>
      </c>
      <c r="F496" s="77">
        <v>29162.45</v>
      </c>
      <c r="G496" s="77">
        <v>29391.11</v>
      </c>
      <c r="H496" s="77">
        <v>29350.01</v>
      </c>
      <c r="I496" s="77">
        <v>29179.97</v>
      </c>
      <c r="J496" s="77">
        <v>29152.93</v>
      </c>
      <c r="K496" s="77">
        <v>29380.74</v>
      </c>
      <c r="L496" s="24">
        <f>IF((K497=""),"",MAX(C498:K498))</f>
        <v>10091.159999999993</v>
      </c>
      <c r="M496" s="30">
        <f>IF(K497="","",MIN(C498:K498))</f>
        <v>8469.3900000000031</v>
      </c>
      <c r="N496" s="24">
        <f>IF((K498=""),"",AVERAGE(C498:K498))</f>
        <v>9446.8066666666637</v>
      </c>
      <c r="O496" s="24">
        <f>IF((K497=""),"",STDEV(C498:K498))</f>
        <v>508.29952931321577</v>
      </c>
      <c r="P496" s="24">
        <f>IF((K497=""),"",O496/N496*100)</f>
        <v>5.3806492209347914</v>
      </c>
      <c r="Q496" s="26" t="str">
        <f>IF(K497="","",IF(P496&lt;15,IF(M496&gt;9000,IF(N496&lt;15600,"Pass","Fail"),"Fail"),"Fail"))</f>
        <v>Fail</v>
      </c>
      <c r="R496" s="118">
        <v>1519</v>
      </c>
      <c r="S496" s="92" t="s">
        <v>237</v>
      </c>
      <c r="T496" s="97">
        <v>9000</v>
      </c>
      <c r="U496" s="77">
        <v>8090</v>
      </c>
      <c r="V496" s="77">
        <v>12070</v>
      </c>
      <c r="W496" s="77">
        <v>6</v>
      </c>
    </row>
    <row r="497" spans="1:23">
      <c r="A497" s="107"/>
      <c r="B497" s="21" t="s">
        <v>135</v>
      </c>
      <c r="C497" s="77">
        <v>26527.95</v>
      </c>
      <c r="D497" s="77">
        <v>26072.11</v>
      </c>
      <c r="E497" s="77">
        <v>26028.04</v>
      </c>
      <c r="F497" s="77">
        <v>25897.09</v>
      </c>
      <c r="G497" s="77">
        <v>26164.29</v>
      </c>
      <c r="H497" s="77">
        <v>25986.29</v>
      </c>
      <c r="I497" s="77">
        <v>25862.71</v>
      </c>
      <c r="J497" s="77">
        <v>26052.54</v>
      </c>
      <c r="K497" s="77">
        <v>26391.83</v>
      </c>
      <c r="L497" s="99"/>
      <c r="M497" s="99"/>
      <c r="N497" s="99"/>
      <c r="O497" s="99"/>
      <c r="P497" s="99"/>
      <c r="Q497" s="100"/>
      <c r="R497" s="101"/>
      <c r="T497" s="97">
        <v>9000</v>
      </c>
      <c r="U497" s="77">
        <v>8090</v>
      </c>
      <c r="V497" s="77">
        <v>12070</v>
      </c>
    </row>
    <row r="498" spans="1:23" ht="15.75" thickBot="1">
      <c r="A498" s="108"/>
      <c r="B498" s="22" t="s">
        <v>136</v>
      </c>
      <c r="C498" s="23">
        <f t="shared" ref="C498:K498" si="162">IF(((C496="")*AND(C497="")),"",(C496-C497)*3)</f>
        <v>8469.3900000000031</v>
      </c>
      <c r="D498" s="23">
        <f t="shared" si="162"/>
        <v>9333.2099999999991</v>
      </c>
      <c r="E498" s="23">
        <f t="shared" si="162"/>
        <v>9431.2799999999952</v>
      </c>
      <c r="F498" s="23">
        <f t="shared" si="162"/>
        <v>9796.0800000000017</v>
      </c>
      <c r="G498" s="23">
        <f t="shared" si="162"/>
        <v>9680.4599999999991</v>
      </c>
      <c r="H498" s="23">
        <f t="shared" si="162"/>
        <v>10091.159999999993</v>
      </c>
      <c r="I498" s="23">
        <f t="shared" si="162"/>
        <v>9951.7800000000061</v>
      </c>
      <c r="J498" s="23">
        <f t="shared" si="162"/>
        <v>9301.1699999999983</v>
      </c>
      <c r="K498" s="23">
        <f t="shared" si="162"/>
        <v>8966.73</v>
      </c>
      <c r="L498" s="103"/>
      <c r="M498" s="103"/>
      <c r="N498" s="103"/>
      <c r="O498" s="103"/>
      <c r="P498" s="103"/>
      <c r="Q498" s="104"/>
      <c r="R498" s="105"/>
      <c r="T498" s="97">
        <v>9000</v>
      </c>
      <c r="U498" s="77">
        <v>8090</v>
      </c>
      <c r="V498" s="77">
        <v>12070</v>
      </c>
    </row>
    <row r="499" spans="1:23">
      <c r="A499" s="110">
        <v>43227</v>
      </c>
      <c r="B499" s="21" t="s">
        <v>133</v>
      </c>
      <c r="C499" s="77">
        <v>29303.43</v>
      </c>
      <c r="D499" s="77">
        <v>29164.63</v>
      </c>
      <c r="E499" s="77">
        <v>29227.95</v>
      </c>
      <c r="F499" s="77">
        <v>29168.71</v>
      </c>
      <c r="G499" s="77">
        <v>29369.59</v>
      </c>
      <c r="H499" s="77">
        <v>29358.37</v>
      </c>
      <c r="I499" s="77">
        <v>29163.53</v>
      </c>
      <c r="J499" s="77">
        <v>29153.39</v>
      </c>
      <c r="K499" s="77">
        <v>29341.51</v>
      </c>
      <c r="L499" s="24">
        <f>IF((K500=""),"",MAX(C501:K501))</f>
        <v>10622.100000000002</v>
      </c>
      <c r="M499" s="30">
        <f>IF(K500="","",MIN(C501:K501))</f>
        <v>9194.1600000000035</v>
      </c>
      <c r="N499" s="24">
        <f>IF((K501=""),"",AVERAGE(C501:K501))</f>
        <v>10092.060000000001</v>
      </c>
      <c r="O499" s="24">
        <f>IF((K500=""),"",STDEV(C501:K501))</f>
        <v>441.81943537487916</v>
      </c>
      <c r="P499" s="24">
        <f>IF((K500=""),"",O499/N499*100)</f>
        <v>4.3778914847402719</v>
      </c>
      <c r="Q499" s="26" t="str">
        <f>IF(K500="","",IF(P499&lt;15,IF(M499&gt;9000,IF(N499&lt;15600,"Pass","Fail"),"Fail"),"Fail"))</f>
        <v>Pass</v>
      </c>
      <c r="R499" s="118">
        <v>102</v>
      </c>
      <c r="S499" s="92"/>
      <c r="T499" s="97">
        <v>9000</v>
      </c>
      <c r="U499" s="77">
        <v>8090</v>
      </c>
      <c r="V499" s="77">
        <v>12070</v>
      </c>
      <c r="W499" s="77">
        <v>6</v>
      </c>
    </row>
    <row r="500" spans="1:23">
      <c r="A500" s="107"/>
      <c r="B500" s="21" t="s">
        <v>135</v>
      </c>
      <c r="C500" s="77">
        <v>26238.71</v>
      </c>
      <c r="D500" s="77">
        <v>25799.48</v>
      </c>
      <c r="E500" s="77">
        <v>25833.68</v>
      </c>
      <c r="F500" s="77">
        <v>25710.36</v>
      </c>
      <c r="G500" s="77">
        <v>26015.35</v>
      </c>
      <c r="H500" s="77">
        <v>25817.67</v>
      </c>
      <c r="I500" s="77">
        <v>25645.54</v>
      </c>
      <c r="J500" s="77">
        <v>25798.76</v>
      </c>
      <c r="K500" s="77">
        <v>26115.38</v>
      </c>
      <c r="L500" s="99"/>
      <c r="M500" s="99"/>
      <c r="N500" s="99"/>
      <c r="O500" s="99"/>
      <c r="P500" s="99"/>
      <c r="Q500" s="100"/>
      <c r="R500" s="101"/>
      <c r="T500" s="97">
        <v>9000</v>
      </c>
      <c r="U500" s="77">
        <v>8090</v>
      </c>
      <c r="V500" s="77">
        <v>12070</v>
      </c>
    </row>
    <row r="501" spans="1:23" ht="15.75" thickBot="1">
      <c r="A501" s="108"/>
      <c r="B501" s="22" t="s">
        <v>136</v>
      </c>
      <c r="C501" s="23">
        <f t="shared" ref="C501:K501" si="163">IF(((C499="")*AND(C500="")),"",(C499-C500)*3)</f>
        <v>9194.1600000000035</v>
      </c>
      <c r="D501" s="23">
        <f t="shared" si="163"/>
        <v>10095.450000000004</v>
      </c>
      <c r="E501" s="23">
        <f t="shared" si="163"/>
        <v>10182.810000000001</v>
      </c>
      <c r="F501" s="23">
        <f t="shared" si="163"/>
        <v>10375.049999999996</v>
      </c>
      <c r="G501" s="23">
        <f t="shared" si="163"/>
        <v>10062.720000000005</v>
      </c>
      <c r="H501" s="23">
        <f t="shared" si="163"/>
        <v>10622.100000000002</v>
      </c>
      <c r="I501" s="23">
        <f t="shared" si="163"/>
        <v>10553.969999999994</v>
      </c>
      <c r="J501" s="23">
        <f t="shared" si="163"/>
        <v>10063.890000000003</v>
      </c>
      <c r="K501" s="23">
        <f t="shared" si="163"/>
        <v>9678.3899999999921</v>
      </c>
      <c r="L501" s="103"/>
      <c r="M501" s="103"/>
      <c r="N501" s="103"/>
      <c r="O501" s="103"/>
      <c r="P501" s="103"/>
      <c r="Q501" s="104"/>
      <c r="R501" s="105"/>
      <c r="T501" s="97">
        <v>9000</v>
      </c>
      <c r="U501" s="77">
        <v>8090</v>
      </c>
      <c r="V501" s="77">
        <v>12070</v>
      </c>
    </row>
    <row r="502" spans="1:23">
      <c r="A502" s="110">
        <v>43234</v>
      </c>
      <c r="B502" s="21" t="s">
        <v>133</v>
      </c>
      <c r="C502" s="77">
        <v>29080.59</v>
      </c>
      <c r="D502" s="77">
        <v>29084.63</v>
      </c>
      <c r="E502" s="77">
        <v>29073.48</v>
      </c>
      <c r="F502" s="77">
        <v>29080.59</v>
      </c>
      <c r="G502" s="77">
        <v>29301.21</v>
      </c>
      <c r="H502" s="77">
        <v>29267.1</v>
      </c>
      <c r="I502" s="77">
        <v>29084.560000000001</v>
      </c>
      <c r="J502" s="77">
        <v>29081.15</v>
      </c>
      <c r="K502" s="77">
        <v>29279.42</v>
      </c>
      <c r="L502" s="24">
        <f>IF((K503=""),"",MAX(C504:K504))</f>
        <v>9562.3499999999913</v>
      </c>
      <c r="M502" s="30">
        <f>IF(K503="","",MIN(C504:K504))</f>
        <v>8716.77</v>
      </c>
      <c r="N502" s="24">
        <f>IF((K504=""),"",AVERAGE(C504:K504))</f>
        <v>9202.65333333333</v>
      </c>
      <c r="O502" s="24">
        <f>IF((K503=""),"",STDEV(C504:K504))</f>
        <v>263.12928234050867</v>
      </c>
      <c r="P502" s="24">
        <f>IF((K503=""),"",O502/N502*100)</f>
        <v>2.8592762631557211</v>
      </c>
      <c r="Q502" s="26" t="str">
        <f>IF(K503="","",IF(P502&lt;15,IF(M502&gt;9000,IF(N502&lt;15600,"Pass","Fail"),"Fail"),"Fail"))</f>
        <v>Fail</v>
      </c>
      <c r="R502" s="118">
        <v>1335</v>
      </c>
      <c r="T502" s="97">
        <v>9000</v>
      </c>
      <c r="U502" s="77">
        <v>8090</v>
      </c>
      <c r="V502" s="77">
        <v>12070</v>
      </c>
      <c r="W502" s="77">
        <v>6</v>
      </c>
    </row>
    <row r="503" spans="1:23">
      <c r="A503" s="107"/>
      <c r="B503" s="21" t="s">
        <v>135</v>
      </c>
      <c r="C503" s="77">
        <v>26047.24</v>
      </c>
      <c r="D503" s="77">
        <v>26047.24</v>
      </c>
      <c r="E503" s="77">
        <v>26001.19</v>
      </c>
      <c r="F503" s="77">
        <v>25906.95</v>
      </c>
      <c r="G503" s="77">
        <v>26178.97</v>
      </c>
      <c r="H503" s="77">
        <v>26079.65</v>
      </c>
      <c r="I503" s="77">
        <v>26178.97</v>
      </c>
      <c r="J503" s="77">
        <v>26005.439999999999</v>
      </c>
      <c r="K503" s="77">
        <v>26279.119999999999</v>
      </c>
      <c r="L503" s="99"/>
      <c r="M503" s="99"/>
      <c r="N503" s="99"/>
      <c r="O503" s="99"/>
      <c r="P503" s="99"/>
      <c r="Q503" s="100"/>
      <c r="R503" s="101"/>
      <c r="T503" s="97">
        <v>9000</v>
      </c>
      <c r="U503" s="77">
        <v>8090</v>
      </c>
      <c r="V503" s="77">
        <v>12070</v>
      </c>
    </row>
    <row r="504" spans="1:23" ht="15.75" thickBot="1">
      <c r="A504" s="108"/>
      <c r="B504" s="22" t="s">
        <v>136</v>
      </c>
      <c r="C504" s="23">
        <f t="shared" ref="C504:K504" si="164">IF(((C502="")*AND(C503="")),"",(C502-C503)*3)</f>
        <v>9100.0499999999956</v>
      </c>
      <c r="D504" s="23">
        <f t="shared" si="164"/>
        <v>9112.1699999999983</v>
      </c>
      <c r="E504" s="23">
        <f t="shared" si="164"/>
        <v>9216.8700000000026</v>
      </c>
      <c r="F504" s="23">
        <f t="shared" si="164"/>
        <v>9520.9199999999983</v>
      </c>
      <c r="G504" s="23">
        <f t="shared" si="164"/>
        <v>9366.7199999999939</v>
      </c>
      <c r="H504" s="23">
        <f t="shared" si="164"/>
        <v>9562.3499999999913</v>
      </c>
      <c r="I504" s="23">
        <f t="shared" si="164"/>
        <v>8716.77</v>
      </c>
      <c r="J504" s="23">
        <f t="shared" si="164"/>
        <v>9227.1300000000083</v>
      </c>
      <c r="K504" s="23">
        <f t="shared" si="164"/>
        <v>9000.8999999999978</v>
      </c>
      <c r="L504" s="103"/>
      <c r="M504" s="103"/>
      <c r="N504" s="103"/>
      <c r="O504" s="103"/>
      <c r="P504" s="103"/>
      <c r="Q504" s="104"/>
      <c r="R504" s="105"/>
      <c r="T504" s="97">
        <v>9000</v>
      </c>
      <c r="U504" s="77">
        <v>8090</v>
      </c>
      <c r="V504" s="77">
        <v>12070</v>
      </c>
    </row>
    <row r="505" spans="1:23">
      <c r="A505" s="110">
        <v>43234</v>
      </c>
      <c r="B505" s="21" t="s">
        <v>133</v>
      </c>
      <c r="C505" s="77">
        <v>29315.78</v>
      </c>
      <c r="D505" s="77">
        <v>29120.54</v>
      </c>
      <c r="E505" s="77">
        <v>29171.96</v>
      </c>
      <c r="F505" s="77">
        <v>29107.13</v>
      </c>
      <c r="G505" s="77">
        <v>29279.86</v>
      </c>
      <c r="H505" s="77">
        <v>29249.03</v>
      </c>
      <c r="I505" s="77">
        <v>29103.83</v>
      </c>
      <c r="J505" s="77">
        <v>29114.7</v>
      </c>
      <c r="K505" s="77">
        <v>29320.83</v>
      </c>
      <c r="L505" s="24">
        <f>IF((K506=""),"",MAX(C507:K507))</f>
        <v>11336.46</v>
      </c>
      <c r="M505" s="30">
        <f>IF(K506="","",MIN(C507:K507))</f>
        <v>10323.299999999996</v>
      </c>
      <c r="N505" s="24">
        <f>IF((K507=""),"",AVERAGE(C507:K507))</f>
        <v>10923.933333333334</v>
      </c>
      <c r="O505" s="24">
        <f>IF((K506=""),"",STDEV(C507:K507))</f>
        <v>312.02975138594246</v>
      </c>
      <c r="P505" s="24">
        <f>IF((K506=""),"",O505/N505*100)</f>
        <v>2.8563864485863677</v>
      </c>
      <c r="Q505" s="26" t="str">
        <f>IF(K506="","",IF(P505&lt;15,IF(M505&gt;9000,IF(N505&lt;15600,"Pass","Fail"),"Fail"),"Fail"))</f>
        <v>Pass</v>
      </c>
      <c r="R505" s="118">
        <v>1335</v>
      </c>
      <c r="S505" s="77" t="s">
        <v>238</v>
      </c>
      <c r="T505" s="97">
        <v>9000</v>
      </c>
      <c r="U505" s="77">
        <v>8090</v>
      </c>
      <c r="V505" s="77">
        <v>12070</v>
      </c>
      <c r="W505" s="77">
        <v>6</v>
      </c>
    </row>
    <row r="506" spans="1:23">
      <c r="A506" s="107"/>
      <c r="B506" s="21" t="s">
        <v>135</v>
      </c>
      <c r="C506" s="77">
        <v>25536.959999999999</v>
      </c>
      <c r="D506" s="77">
        <v>25400.29</v>
      </c>
      <c r="E506" s="77">
        <v>25525.37</v>
      </c>
      <c r="F506" s="77">
        <v>25464.97</v>
      </c>
      <c r="G506" s="77">
        <v>25756.04</v>
      </c>
      <c r="H506" s="77">
        <v>25807.93</v>
      </c>
      <c r="I506" s="77">
        <v>25473.040000000001</v>
      </c>
      <c r="J506" s="77">
        <v>25390.6</v>
      </c>
      <c r="K506" s="77">
        <v>25656.66</v>
      </c>
      <c r="L506" s="99"/>
      <c r="M506" s="99"/>
      <c r="N506" s="99"/>
      <c r="O506" s="99"/>
      <c r="P506" s="99"/>
      <c r="Q506" s="100"/>
      <c r="R506" s="101"/>
      <c r="T506" s="97">
        <v>9000</v>
      </c>
      <c r="U506" s="77">
        <v>8090</v>
      </c>
      <c r="V506" s="77">
        <v>12070</v>
      </c>
    </row>
    <row r="507" spans="1:23" ht="15.75" thickBot="1">
      <c r="A507" s="108"/>
      <c r="B507" s="22" t="s">
        <v>136</v>
      </c>
      <c r="C507" s="23">
        <f t="shared" ref="C507:K507" si="165">IF(((C505="")*AND(C506="")),"",(C505-C506)*3)</f>
        <v>11336.46</v>
      </c>
      <c r="D507" s="23">
        <f t="shared" si="165"/>
        <v>11160.75</v>
      </c>
      <c r="E507" s="23">
        <f t="shared" si="165"/>
        <v>10939.77</v>
      </c>
      <c r="F507" s="23">
        <f t="shared" si="165"/>
        <v>10926.48</v>
      </c>
      <c r="G507" s="23">
        <f t="shared" si="165"/>
        <v>10571.46</v>
      </c>
      <c r="H507" s="23">
        <f t="shared" si="165"/>
        <v>10323.299999999996</v>
      </c>
      <c r="I507" s="23">
        <f t="shared" si="165"/>
        <v>10892.370000000003</v>
      </c>
      <c r="J507" s="23">
        <f t="shared" si="165"/>
        <v>11172.300000000007</v>
      </c>
      <c r="K507" s="23">
        <f t="shared" si="165"/>
        <v>10992.510000000006</v>
      </c>
      <c r="L507" s="103"/>
      <c r="M507" s="103"/>
      <c r="N507" s="103"/>
      <c r="O507" s="103"/>
      <c r="P507" s="103"/>
      <c r="Q507" s="104"/>
      <c r="R507" s="105"/>
      <c r="T507" s="97">
        <v>9000</v>
      </c>
      <c r="U507" s="77">
        <v>8090</v>
      </c>
      <c r="V507" s="77">
        <v>12070</v>
      </c>
    </row>
    <row r="508" spans="1:23">
      <c r="A508" s="110">
        <v>43238</v>
      </c>
      <c r="B508" s="21" t="s">
        <v>133</v>
      </c>
      <c r="C508" s="77">
        <v>29277</v>
      </c>
      <c r="D508" s="77">
        <v>29068</v>
      </c>
      <c r="E508" s="77">
        <v>29121</v>
      </c>
      <c r="F508" s="77">
        <v>29055</v>
      </c>
      <c r="G508" s="77">
        <v>29298</v>
      </c>
      <c r="H508" s="77">
        <v>29223</v>
      </c>
      <c r="I508" s="77">
        <v>29055</v>
      </c>
      <c r="J508" s="77">
        <v>29050</v>
      </c>
      <c r="K508" s="77">
        <v>29268</v>
      </c>
      <c r="L508" s="24">
        <f>IF((K509=""),"",MAX(C510:K510))</f>
        <v>10650</v>
      </c>
      <c r="M508" s="30">
        <f>IF(K509="","",MIN(C510:K510))</f>
        <v>9861</v>
      </c>
      <c r="N508" s="24">
        <f>IF((K510=""),"",AVERAGE(C510:K510))</f>
        <v>10337.666666666666</v>
      </c>
      <c r="O508" s="24">
        <f>IF((K509=""),"",STDEV(C510:K510))</f>
        <v>254.2951041605009</v>
      </c>
      <c r="P508" s="24">
        <f>IF((K509=""),"",O508/N508*100)</f>
        <v>2.4598887965740261</v>
      </c>
      <c r="Q508" s="26" t="str">
        <f>IF(K509="","",IF(P508&lt;15,IF(M508&gt;9000,IF(N508&lt;15600,"Pass","Fail"),"Fail"),"Fail"))</f>
        <v>Pass</v>
      </c>
      <c r="R508" s="118">
        <v>1159</v>
      </c>
      <c r="S508" s="77" t="s">
        <v>239</v>
      </c>
      <c r="T508" s="97">
        <v>9000</v>
      </c>
      <c r="U508" s="77">
        <v>8090</v>
      </c>
      <c r="V508" s="77">
        <v>12070</v>
      </c>
      <c r="W508" s="77">
        <v>6</v>
      </c>
    </row>
    <row r="509" spans="1:23">
      <c r="A509" s="107"/>
      <c r="B509" s="21" t="s">
        <v>135</v>
      </c>
      <c r="C509" s="77">
        <v>25990</v>
      </c>
      <c r="D509" s="77">
        <v>25644</v>
      </c>
      <c r="E509" s="77">
        <v>25693</v>
      </c>
      <c r="F509" s="77">
        <v>25543</v>
      </c>
      <c r="G509" s="77">
        <v>25793</v>
      </c>
      <c r="H509" s="77">
        <v>25874</v>
      </c>
      <c r="I509" s="77">
        <v>25600</v>
      </c>
      <c r="J509" s="77">
        <v>25547</v>
      </c>
      <c r="K509" s="77">
        <v>25718</v>
      </c>
      <c r="L509" s="99"/>
      <c r="M509" s="99"/>
      <c r="N509" s="99"/>
      <c r="O509" s="99"/>
      <c r="P509" s="99"/>
      <c r="Q509" s="100"/>
      <c r="R509" s="101"/>
      <c r="T509" s="97">
        <v>9000</v>
      </c>
      <c r="U509" s="77">
        <v>8090</v>
      </c>
      <c r="V509" s="77">
        <v>12070</v>
      </c>
    </row>
    <row r="510" spans="1:23" ht="15.75" thickBot="1">
      <c r="A510" s="108"/>
      <c r="B510" s="22" t="s">
        <v>136</v>
      </c>
      <c r="C510" s="23">
        <f t="shared" ref="C510:K510" si="166">IF(((C508="")*AND(C509="")),"",(C508-C509)*3)</f>
        <v>9861</v>
      </c>
      <c r="D510" s="23">
        <f t="shared" si="166"/>
        <v>10272</v>
      </c>
      <c r="E510" s="23">
        <f t="shared" si="166"/>
        <v>10284</v>
      </c>
      <c r="F510" s="23">
        <f t="shared" si="166"/>
        <v>10536</v>
      </c>
      <c r="G510" s="23">
        <f t="shared" si="166"/>
        <v>10515</v>
      </c>
      <c r="H510" s="23">
        <f t="shared" si="166"/>
        <v>10047</v>
      </c>
      <c r="I510" s="23">
        <f t="shared" si="166"/>
        <v>10365</v>
      </c>
      <c r="J510" s="23">
        <f t="shared" si="166"/>
        <v>10509</v>
      </c>
      <c r="K510" s="23">
        <f t="shared" si="166"/>
        <v>10650</v>
      </c>
      <c r="L510" s="103"/>
      <c r="M510" s="103"/>
      <c r="N510" s="103"/>
      <c r="O510" s="103"/>
      <c r="P510" s="103"/>
      <c r="Q510" s="104"/>
      <c r="R510" s="105"/>
      <c r="T510" s="97">
        <v>9000</v>
      </c>
      <c r="U510" s="77">
        <v>8090</v>
      </c>
      <c r="V510" s="77">
        <v>12070</v>
      </c>
    </row>
    <row r="511" spans="1:23">
      <c r="A511" s="110">
        <v>43243</v>
      </c>
      <c r="B511" s="21" t="s">
        <v>133</v>
      </c>
      <c r="C511" s="77">
        <v>29166.86</v>
      </c>
      <c r="D511" s="77">
        <v>29013.09</v>
      </c>
      <c r="E511" s="77">
        <v>29057.119999999999</v>
      </c>
      <c r="F511" s="77">
        <v>29018.26</v>
      </c>
      <c r="G511" s="77">
        <v>29279.85</v>
      </c>
      <c r="H511" s="77">
        <v>29191.11</v>
      </c>
      <c r="I511" s="77">
        <v>29018.6</v>
      </c>
      <c r="J511" s="77">
        <v>29001.84</v>
      </c>
      <c r="K511" s="77">
        <v>29184.99</v>
      </c>
      <c r="L511" s="24">
        <f>IF((K512=""),"",MAX(C513:K513))</f>
        <v>10102.890000000003</v>
      </c>
      <c r="M511" s="30">
        <f>IF(K512="","",MIN(C513:K513))</f>
        <v>9260.5500000000065</v>
      </c>
      <c r="N511" s="24">
        <f>IF((K513=""),"",AVERAGE(C513:K513))</f>
        <v>9683.9833333333336</v>
      </c>
      <c r="O511" s="24">
        <f>IF((K512=""),"",STDEV(C513:K513))</f>
        <v>252.25409248406376</v>
      </c>
      <c r="P511" s="24">
        <f>IF((K512=""),"",O511/N511*100)</f>
        <v>2.6048588044939884</v>
      </c>
      <c r="Q511" s="26" t="str">
        <f>IF(K512="","",IF(P511&lt;15,IF(M511&gt;9000,IF(N511&lt;15600,"Pass","Fail"),"Fail"),"Fail"))</f>
        <v>Pass</v>
      </c>
      <c r="R511" s="118">
        <v>1159</v>
      </c>
      <c r="S511" s="77" t="s">
        <v>240</v>
      </c>
      <c r="T511" s="97">
        <v>9000</v>
      </c>
      <c r="U511" s="77">
        <v>8090</v>
      </c>
      <c r="V511" s="77">
        <v>12070</v>
      </c>
      <c r="W511" s="77">
        <v>6</v>
      </c>
    </row>
    <row r="512" spans="1:23">
      <c r="A512" s="107"/>
      <c r="B512" s="21" t="s">
        <v>135</v>
      </c>
      <c r="C512" s="77">
        <v>26080.01</v>
      </c>
      <c r="D512" s="77">
        <v>25814.49</v>
      </c>
      <c r="E512" s="77">
        <v>25851.040000000001</v>
      </c>
      <c r="F512" s="77">
        <v>25735.919999999998</v>
      </c>
      <c r="G512" s="77">
        <v>26058.32</v>
      </c>
      <c r="H512" s="77">
        <v>25823.48</v>
      </c>
      <c r="I512" s="77">
        <v>25699.86</v>
      </c>
      <c r="J512" s="77">
        <v>25795.7</v>
      </c>
      <c r="K512" s="77">
        <v>26020.95</v>
      </c>
      <c r="L512" s="99"/>
      <c r="M512" s="99"/>
      <c r="N512" s="99"/>
      <c r="O512" s="99"/>
      <c r="P512" s="99"/>
      <c r="Q512" s="100"/>
      <c r="R512" s="101"/>
      <c r="T512" s="97">
        <v>9000</v>
      </c>
      <c r="U512" s="77">
        <v>8090</v>
      </c>
      <c r="V512" s="77">
        <v>12070</v>
      </c>
    </row>
    <row r="513" spans="1:23" ht="15.75" thickBot="1">
      <c r="A513" s="108"/>
      <c r="B513" s="22" t="s">
        <v>136</v>
      </c>
      <c r="C513" s="23">
        <f t="shared" ref="C513:K513" si="167">IF(((C511="")*AND(C512="")),"",(C511-C512)*3)</f>
        <v>9260.5500000000065</v>
      </c>
      <c r="D513" s="23">
        <f t="shared" si="167"/>
        <v>9595.7999999999956</v>
      </c>
      <c r="E513" s="23">
        <f t="shared" si="167"/>
        <v>9618.2399999999943</v>
      </c>
      <c r="F513" s="23">
        <f t="shared" si="167"/>
        <v>9847.02</v>
      </c>
      <c r="G513" s="23">
        <f t="shared" si="167"/>
        <v>9664.5899999999965</v>
      </c>
      <c r="H513" s="23">
        <f t="shared" si="167"/>
        <v>10102.890000000003</v>
      </c>
      <c r="I513" s="23">
        <f t="shared" si="167"/>
        <v>9956.2199999999939</v>
      </c>
      <c r="J513" s="23">
        <f t="shared" si="167"/>
        <v>9618.4199999999983</v>
      </c>
      <c r="K513" s="23">
        <f t="shared" si="167"/>
        <v>9492.1200000000026</v>
      </c>
      <c r="L513" s="103"/>
      <c r="M513" s="103"/>
      <c r="N513" s="103"/>
      <c r="O513" s="103"/>
      <c r="P513" s="103"/>
      <c r="Q513" s="104"/>
      <c r="R513" s="105"/>
      <c r="T513" s="97">
        <v>9000</v>
      </c>
      <c r="U513" s="77">
        <v>8090</v>
      </c>
      <c r="V513" s="77">
        <v>12070</v>
      </c>
    </row>
    <row r="514" spans="1:23">
      <c r="A514" s="110">
        <v>43247</v>
      </c>
      <c r="B514" s="21" t="s">
        <v>133</v>
      </c>
      <c r="C514" s="77">
        <v>29164.21</v>
      </c>
      <c r="D514" s="77">
        <v>29018.27</v>
      </c>
      <c r="E514" s="77">
        <v>29055.98</v>
      </c>
      <c r="F514" s="77">
        <v>28985.82</v>
      </c>
      <c r="G514" s="77">
        <v>29220.06</v>
      </c>
      <c r="H514" s="77">
        <v>29142.14</v>
      </c>
      <c r="I514" s="77">
        <v>28999</v>
      </c>
      <c r="J514" s="77">
        <v>28991.62</v>
      </c>
      <c r="K514" s="77">
        <v>29221.33</v>
      </c>
      <c r="L514" s="24">
        <f>IF((K515=""),"",MAX(C516:K516))</f>
        <v>11028.450000000004</v>
      </c>
      <c r="M514" s="30">
        <f>IF(K515="","",MIN(C516:K516))</f>
        <v>9905.8500000000022</v>
      </c>
      <c r="N514" s="24">
        <f>IF((K516=""),"",AVERAGE(C516:K516))</f>
        <v>10691.463333333335</v>
      </c>
      <c r="O514" s="24">
        <f>IF((K515=""),"",STDEV(C516:K516))</f>
        <v>325.99847422948761</v>
      </c>
      <c r="P514" s="24">
        <f>IF((K515=""),"",O514/N514*100)</f>
        <v>3.0491473810989476</v>
      </c>
      <c r="Q514" s="26" t="str">
        <f>IF(K515="","",IF(P514&lt;15,IF(M514&gt;9000,IF(N514&lt;15600,"Pass","Fail"),"Fail"),"Fail"))</f>
        <v>Pass</v>
      </c>
      <c r="R514" s="118">
        <v>121</v>
      </c>
      <c r="T514" s="97">
        <v>9000</v>
      </c>
      <c r="U514" s="77">
        <v>8090</v>
      </c>
      <c r="V514" s="77">
        <v>12070</v>
      </c>
      <c r="W514" s="77">
        <v>6</v>
      </c>
    </row>
    <row r="515" spans="1:23">
      <c r="A515" s="107"/>
      <c r="B515" s="21" t="s">
        <v>135</v>
      </c>
      <c r="C515" s="77">
        <v>25534.66</v>
      </c>
      <c r="D515" s="77">
        <v>25342.12</v>
      </c>
      <c r="E515" s="77">
        <v>25479.46</v>
      </c>
      <c r="F515" s="77">
        <v>25461.31</v>
      </c>
      <c r="G515" s="77">
        <v>25918.11</v>
      </c>
      <c r="H515" s="77">
        <v>25602.52</v>
      </c>
      <c r="I515" s="77">
        <v>25407.68</v>
      </c>
      <c r="J515" s="77">
        <v>25365.14</v>
      </c>
      <c r="K515" s="77">
        <v>25613.040000000001</v>
      </c>
      <c r="L515" s="99"/>
      <c r="M515" s="99"/>
      <c r="N515" s="99"/>
      <c r="O515" s="99"/>
      <c r="P515" s="99"/>
      <c r="Q515" s="100"/>
      <c r="R515" s="101"/>
      <c r="T515" s="97">
        <v>9000</v>
      </c>
      <c r="U515" s="77">
        <v>8090</v>
      </c>
      <c r="V515" s="77">
        <v>12070</v>
      </c>
    </row>
    <row r="516" spans="1:23" ht="15.75" thickBot="1">
      <c r="A516" s="108"/>
      <c r="B516" s="22" t="s">
        <v>136</v>
      </c>
      <c r="C516" s="23">
        <f t="shared" ref="C516:K516" si="168">IF(((C514="")*AND(C515="")),"",(C514-C515)*3)</f>
        <v>10888.649999999998</v>
      </c>
      <c r="D516" s="23">
        <f t="shared" si="168"/>
        <v>11028.450000000004</v>
      </c>
      <c r="E516" s="23">
        <f t="shared" si="168"/>
        <v>10729.560000000001</v>
      </c>
      <c r="F516" s="23">
        <f t="shared" si="168"/>
        <v>10573.529999999995</v>
      </c>
      <c r="G516" s="23">
        <f t="shared" si="168"/>
        <v>9905.8500000000022</v>
      </c>
      <c r="H516" s="23">
        <f t="shared" si="168"/>
        <v>10618.859999999997</v>
      </c>
      <c r="I516" s="23">
        <f t="shared" si="168"/>
        <v>10773.96</v>
      </c>
      <c r="J516" s="23">
        <f t="shared" si="168"/>
        <v>10879.439999999999</v>
      </c>
      <c r="K516" s="23">
        <f t="shared" si="168"/>
        <v>10824.870000000003</v>
      </c>
      <c r="L516" s="103"/>
      <c r="M516" s="103"/>
      <c r="N516" s="103"/>
      <c r="O516" s="103"/>
      <c r="P516" s="103"/>
      <c r="Q516" s="104"/>
      <c r="R516" s="105"/>
      <c r="T516" s="97">
        <v>9000</v>
      </c>
      <c r="U516" s="77">
        <v>8090</v>
      </c>
      <c r="V516" s="77">
        <v>12070</v>
      </c>
    </row>
    <row r="517" spans="1:23">
      <c r="A517" s="110">
        <v>43252</v>
      </c>
      <c r="B517" s="21" t="s">
        <v>133</v>
      </c>
      <c r="C517" s="77">
        <v>29077.51</v>
      </c>
      <c r="D517" s="77">
        <v>28888.38</v>
      </c>
      <c r="E517" s="77">
        <v>28944.13</v>
      </c>
      <c r="F517" s="77">
        <v>28902.38</v>
      </c>
      <c r="G517" s="77">
        <v>29077.97</v>
      </c>
      <c r="H517" s="77">
        <v>29071</v>
      </c>
      <c r="I517" s="77">
        <v>28881.17</v>
      </c>
      <c r="J517" s="77">
        <v>28892.43</v>
      </c>
      <c r="K517" s="77">
        <v>29101.13</v>
      </c>
      <c r="L517" s="24">
        <f>IF((K518=""),"",MAX(C519:K519))</f>
        <v>11603.310000000001</v>
      </c>
      <c r="M517" s="30">
        <f>IF(K518="","",MIN(C519:K519))</f>
        <v>10316.280000000006</v>
      </c>
      <c r="N517" s="24">
        <f>IF((K519=""),"",AVERAGE(C519:K519))</f>
        <v>11188.213333333333</v>
      </c>
      <c r="O517" s="24">
        <f>IF((K518=""),"",STDEV(C519:K519))</f>
        <v>399.33544877712819</v>
      </c>
      <c r="P517" s="24">
        <f>IF((K518=""),"",O517/N517*100)</f>
        <v>3.5692512904395359</v>
      </c>
      <c r="Q517" s="26" t="str">
        <f>IF(K518="","",IF(P517&lt;15,IF(M517&gt;9000,IF(N517&lt;15600,"Pass","Fail"),"Fail"),"Fail"))</f>
        <v>Pass</v>
      </c>
      <c r="R517" s="118">
        <v>121</v>
      </c>
      <c r="T517" s="97">
        <v>9000</v>
      </c>
      <c r="U517" s="77">
        <v>8090</v>
      </c>
      <c r="V517" s="77">
        <v>12070</v>
      </c>
      <c r="W517" s="77">
        <v>6</v>
      </c>
    </row>
    <row r="518" spans="1:23">
      <c r="A518" s="107"/>
      <c r="B518" s="21" t="s">
        <v>135</v>
      </c>
      <c r="C518" s="77">
        <v>25318.91</v>
      </c>
      <c r="D518" s="77">
        <v>25020.61</v>
      </c>
      <c r="E518" s="77">
        <v>25126.77</v>
      </c>
      <c r="F518" s="77">
        <v>25224.41</v>
      </c>
      <c r="G518" s="77">
        <v>25639.21</v>
      </c>
      <c r="H518" s="77">
        <v>25296.52</v>
      </c>
      <c r="I518" s="77">
        <v>25252</v>
      </c>
      <c r="J518" s="77">
        <v>25141.03</v>
      </c>
      <c r="K518" s="77">
        <v>25252</v>
      </c>
      <c r="L518" s="99"/>
      <c r="M518" s="99"/>
      <c r="N518" s="99"/>
      <c r="O518" s="99"/>
      <c r="P518" s="99"/>
      <c r="Q518" s="100"/>
      <c r="R518" s="101"/>
      <c r="T518" s="97">
        <v>9000</v>
      </c>
      <c r="U518" s="77">
        <v>8090</v>
      </c>
      <c r="V518" s="77">
        <v>12070</v>
      </c>
    </row>
    <row r="519" spans="1:23" ht="15.75" thickBot="1">
      <c r="A519" s="108"/>
      <c r="B519" s="22" t="s">
        <v>136</v>
      </c>
      <c r="C519" s="23">
        <f t="shared" ref="C519:K519" si="169">IF(((C517="")*AND(C518="")),"",(C517-C518)*3)</f>
        <v>11275.799999999996</v>
      </c>
      <c r="D519" s="23">
        <f t="shared" si="169"/>
        <v>11603.310000000001</v>
      </c>
      <c r="E519" s="23">
        <f t="shared" si="169"/>
        <v>11452.080000000002</v>
      </c>
      <c r="F519" s="23">
        <f t="shared" si="169"/>
        <v>11033.910000000003</v>
      </c>
      <c r="G519" s="23">
        <f t="shared" si="169"/>
        <v>10316.280000000006</v>
      </c>
      <c r="H519" s="23">
        <f t="shared" si="169"/>
        <v>11323.439999999999</v>
      </c>
      <c r="I519" s="23">
        <f t="shared" si="169"/>
        <v>10887.509999999995</v>
      </c>
      <c r="J519" s="23">
        <f t="shared" si="169"/>
        <v>11254.200000000004</v>
      </c>
      <c r="K519" s="23">
        <f t="shared" si="169"/>
        <v>11547.390000000003</v>
      </c>
      <c r="L519" s="103"/>
      <c r="M519" s="103"/>
      <c r="N519" s="103"/>
      <c r="O519" s="103"/>
      <c r="P519" s="103"/>
      <c r="Q519" s="104"/>
      <c r="R519" s="105"/>
      <c r="T519" s="97">
        <v>9000</v>
      </c>
      <c r="U519" s="77">
        <v>8090</v>
      </c>
      <c r="V519" s="77">
        <v>12070</v>
      </c>
    </row>
    <row r="520" spans="1:23">
      <c r="A520" s="110">
        <v>43256</v>
      </c>
      <c r="B520" s="21" t="s">
        <v>133</v>
      </c>
      <c r="C520" s="77">
        <v>29091.66</v>
      </c>
      <c r="D520" s="77">
        <v>28889.68</v>
      </c>
      <c r="E520" s="77">
        <v>28922.99</v>
      </c>
      <c r="F520" s="77">
        <v>28872.03</v>
      </c>
      <c r="G520" s="77">
        <v>29054.19</v>
      </c>
      <c r="H520" s="77">
        <v>29031.93</v>
      </c>
      <c r="I520" s="77">
        <v>28867.55</v>
      </c>
      <c r="J520" s="77">
        <v>28869.72</v>
      </c>
      <c r="K520" s="77">
        <v>29088.27</v>
      </c>
      <c r="L520" s="24">
        <f>IF((K521=""),"",MAX(C522:K522))</f>
        <v>9871.5899999999965</v>
      </c>
      <c r="M520" s="30">
        <f>IF(K521="","",MIN(C522:K522))</f>
        <v>8607.48</v>
      </c>
      <c r="N520" s="24">
        <f>IF((K522=""),"",AVERAGE(C522:K522))</f>
        <v>9493.4066666666677</v>
      </c>
      <c r="O520" s="24">
        <f>IF((K521=""),"",STDEV(C522:K522))</f>
        <v>378.34502213587098</v>
      </c>
      <c r="P520" s="24">
        <f>IF((K521=""),"",O520/N520*100)</f>
        <v>3.985345149748186</v>
      </c>
      <c r="Q520" s="26" t="str">
        <f>IF(K521="","",IF(P520&lt;15,IF(M520&gt;9000,IF(N520&lt;15600,"Pass","Fail"),"Fail"),"Fail"))</f>
        <v>Fail</v>
      </c>
      <c r="R520" s="118">
        <v>1335</v>
      </c>
      <c r="T520" s="97">
        <v>9000</v>
      </c>
      <c r="U520" s="77">
        <v>8090</v>
      </c>
      <c r="V520" s="77">
        <v>12070</v>
      </c>
      <c r="W520" s="77">
        <v>6</v>
      </c>
    </row>
    <row r="521" spans="1:23">
      <c r="A521" s="107"/>
      <c r="B521" s="21" t="s">
        <v>135</v>
      </c>
      <c r="C521" s="77">
        <v>25801.13</v>
      </c>
      <c r="D521" s="77">
        <v>25607.55</v>
      </c>
      <c r="E521" s="77">
        <v>25767.15</v>
      </c>
      <c r="F521" s="77">
        <v>25763.01</v>
      </c>
      <c r="G521" s="77">
        <v>26185.03</v>
      </c>
      <c r="H521" s="77">
        <v>25882.89</v>
      </c>
      <c r="I521" s="77">
        <v>25685.37</v>
      </c>
      <c r="J521" s="77">
        <v>25639.38</v>
      </c>
      <c r="K521" s="77">
        <v>25876.29</v>
      </c>
      <c r="L521" s="99"/>
      <c r="M521" s="99"/>
      <c r="N521" s="99"/>
      <c r="O521" s="99"/>
      <c r="P521" s="99"/>
      <c r="Q521" s="100"/>
      <c r="R521" s="101"/>
      <c r="T521" s="97">
        <v>9000</v>
      </c>
      <c r="U521" s="77">
        <v>8090</v>
      </c>
      <c r="V521" s="77">
        <v>12070</v>
      </c>
    </row>
    <row r="522" spans="1:23" ht="15.75" thickBot="1">
      <c r="A522" s="108"/>
      <c r="B522" s="22" t="s">
        <v>136</v>
      </c>
      <c r="C522" s="23">
        <f t="shared" ref="C522:K522" si="170">IF(((C520="")*AND(C521="")),"",(C520-C521)*3)</f>
        <v>9871.5899999999965</v>
      </c>
      <c r="D522" s="23">
        <f t="shared" si="170"/>
        <v>9846.3900000000031</v>
      </c>
      <c r="E522" s="23">
        <f t="shared" si="170"/>
        <v>9467.52</v>
      </c>
      <c r="F522" s="23">
        <f t="shared" si="170"/>
        <v>9327.0600000000013</v>
      </c>
      <c r="G522" s="23">
        <f t="shared" si="170"/>
        <v>8607.48</v>
      </c>
      <c r="H522" s="23">
        <f t="shared" si="170"/>
        <v>9447.1200000000026</v>
      </c>
      <c r="I522" s="23">
        <f t="shared" si="170"/>
        <v>9546.5400000000009</v>
      </c>
      <c r="J522" s="23">
        <f t="shared" si="170"/>
        <v>9691.02</v>
      </c>
      <c r="K522" s="23">
        <f t="shared" si="170"/>
        <v>9635.9399999999987</v>
      </c>
      <c r="L522" s="103"/>
      <c r="M522" s="103"/>
      <c r="N522" s="103"/>
      <c r="O522" s="103"/>
      <c r="P522" s="103"/>
      <c r="Q522" s="104"/>
      <c r="R522" s="105"/>
      <c r="T522" s="97">
        <v>9000</v>
      </c>
      <c r="U522" s="77">
        <v>8090</v>
      </c>
      <c r="V522" s="77">
        <v>12070</v>
      </c>
    </row>
    <row r="523" spans="1:23">
      <c r="A523" s="110">
        <v>43256</v>
      </c>
      <c r="B523" s="21" t="s">
        <v>133</v>
      </c>
      <c r="C523" s="77">
        <v>29118.99</v>
      </c>
      <c r="D523" s="77">
        <v>28866.560000000001</v>
      </c>
      <c r="E523" s="77">
        <v>28848.6</v>
      </c>
      <c r="F523" s="77">
        <v>28854.28</v>
      </c>
      <c r="G523" s="77">
        <v>29106.52</v>
      </c>
      <c r="H523" s="77">
        <v>29019.16</v>
      </c>
      <c r="I523" s="77">
        <v>28880.48</v>
      </c>
      <c r="J523" s="77">
        <v>28856.79</v>
      </c>
      <c r="K523" s="77">
        <v>29084.47</v>
      </c>
      <c r="L523" s="24">
        <f>IF((K524=""),"",MAX(C525:K525))</f>
        <v>11409.54</v>
      </c>
      <c r="M523" s="30">
        <f>IF(K524="","",MIN(C525:K525))</f>
        <v>10415.370000000003</v>
      </c>
      <c r="N523" s="24">
        <f>IF((K525=""),"",AVERAGE(C525:K525))</f>
        <v>11089.070000000003</v>
      </c>
      <c r="O523" s="24">
        <f>IF((K524=""),"",STDEV(C525:K525))</f>
        <v>295.11749761735541</v>
      </c>
      <c r="P523" s="30">
        <v>2.2307800000000002</v>
      </c>
      <c r="Q523" s="26" t="str">
        <f>IF(K524="","",IF(P523&lt;15,IF(M523&gt;9000,IF(N523&lt;15600,"Pass","Fail"),"Fail"),"Fail"))</f>
        <v>Pass</v>
      </c>
      <c r="R523" s="118">
        <v>1335</v>
      </c>
      <c r="S523" s="77" t="s">
        <v>241</v>
      </c>
      <c r="T523" s="97">
        <v>9000</v>
      </c>
      <c r="U523" s="77">
        <v>8090</v>
      </c>
      <c r="V523" s="77">
        <v>12070</v>
      </c>
      <c r="W523" s="77">
        <v>6</v>
      </c>
    </row>
    <row r="524" spans="1:23">
      <c r="A524" s="107"/>
      <c r="B524" s="21" t="s">
        <v>135</v>
      </c>
      <c r="C524" s="77">
        <v>25647.200000000001</v>
      </c>
      <c r="D524" s="77">
        <v>25202.69</v>
      </c>
      <c r="E524" s="77">
        <v>25141.63</v>
      </c>
      <c r="F524" s="77">
        <v>25055.58</v>
      </c>
      <c r="G524" s="77">
        <v>25352.560000000001</v>
      </c>
      <c r="H524" s="77">
        <v>25339.69</v>
      </c>
      <c r="I524" s="77">
        <v>25077.3</v>
      </c>
      <c r="J524" s="77">
        <v>25149.42</v>
      </c>
      <c r="K524" s="77">
        <v>25402.57</v>
      </c>
      <c r="L524" s="99"/>
      <c r="M524" s="99"/>
      <c r="N524" s="99"/>
      <c r="O524" s="99"/>
      <c r="P524" s="99"/>
      <c r="Q524" s="100"/>
      <c r="R524" s="101"/>
      <c r="T524" s="97">
        <v>9000</v>
      </c>
      <c r="U524" s="77">
        <v>8090</v>
      </c>
      <c r="V524" s="77">
        <v>12070</v>
      </c>
    </row>
    <row r="525" spans="1:23" ht="15.75" thickBot="1">
      <c r="A525" s="108"/>
      <c r="B525" s="22" t="s">
        <v>136</v>
      </c>
      <c r="C525" s="23">
        <f t="shared" ref="C525:K525" si="171">IF(((C523="")*AND(C524="")),"",(C523-C524)*3)</f>
        <v>10415.370000000003</v>
      </c>
      <c r="D525" s="23">
        <f t="shared" si="171"/>
        <v>10991.610000000008</v>
      </c>
      <c r="E525" s="23">
        <f t="shared" si="171"/>
        <v>11120.909999999993</v>
      </c>
      <c r="F525" s="23">
        <f t="shared" si="171"/>
        <v>11396.099999999991</v>
      </c>
      <c r="G525" s="23">
        <f t="shared" si="171"/>
        <v>11261.879999999997</v>
      </c>
      <c r="H525" s="23">
        <f t="shared" si="171"/>
        <v>11038.410000000003</v>
      </c>
      <c r="I525" s="23">
        <f t="shared" si="171"/>
        <v>11409.54</v>
      </c>
      <c r="J525" s="23">
        <f t="shared" si="171"/>
        <v>11122.110000000008</v>
      </c>
      <c r="K525" s="23">
        <f t="shared" si="171"/>
        <v>11045.700000000004</v>
      </c>
      <c r="L525" s="103"/>
      <c r="M525" s="103"/>
      <c r="N525" s="103"/>
      <c r="O525" s="103"/>
      <c r="P525" s="103"/>
      <c r="Q525" s="104"/>
      <c r="R525" s="105"/>
      <c r="T525" s="97">
        <v>9000</v>
      </c>
      <c r="U525" s="77">
        <v>8090</v>
      </c>
      <c r="V525" s="77">
        <v>12070</v>
      </c>
    </row>
    <row r="526" spans="1:23">
      <c r="A526" s="110">
        <v>43260</v>
      </c>
      <c r="B526" s="21" t="s">
        <v>133</v>
      </c>
      <c r="C526" s="77">
        <v>28995.94</v>
      </c>
      <c r="D526" s="77">
        <v>28838.15</v>
      </c>
      <c r="E526" s="77">
        <v>28882.5</v>
      </c>
      <c r="F526" s="77">
        <v>28841.47</v>
      </c>
      <c r="G526" s="77">
        <v>29038.11</v>
      </c>
      <c r="H526" s="77">
        <v>28993.19</v>
      </c>
      <c r="I526" s="77">
        <v>28823.94</v>
      </c>
      <c r="J526" s="77">
        <v>28833.63</v>
      </c>
      <c r="K526" s="77">
        <v>29028.04</v>
      </c>
      <c r="L526" s="24">
        <f>IF((K527=""),"",MAX(C528:K528))</f>
        <v>10047.330000000002</v>
      </c>
      <c r="M526" s="30">
        <f>IF(K527="","",MIN(C528:K528))</f>
        <v>9419.73</v>
      </c>
      <c r="N526" s="24">
        <f>IF((K528=""),"",AVERAGE(C528:K528))</f>
        <v>9689.9166666666661</v>
      </c>
      <c r="O526" s="24">
        <f>IF((K527=""),"",STDEV(C528:K528))</f>
        <v>201.95121514854276</v>
      </c>
      <c r="P526" s="24">
        <f>IF((K527=""),"",O526/N526*100)</f>
        <v>2.0841377908156362</v>
      </c>
      <c r="Q526" s="26" t="str">
        <f>IF(K527="","",IF(P526&lt;15,IF(M526&gt;9000,IF(N526&lt;15600,"Pass","Fail"),"Fail"),"Fail"))</f>
        <v>Pass</v>
      </c>
      <c r="R526" s="118">
        <v>121</v>
      </c>
      <c r="S526" s="77" t="s">
        <v>242</v>
      </c>
      <c r="T526" s="97">
        <v>9000</v>
      </c>
      <c r="U526" s="77">
        <v>8090</v>
      </c>
      <c r="V526" s="77">
        <v>12070</v>
      </c>
      <c r="W526" s="77">
        <v>6</v>
      </c>
    </row>
    <row r="527" spans="1:23">
      <c r="A527" s="107"/>
      <c r="B527" s="21" t="s">
        <v>135</v>
      </c>
      <c r="C527" s="77">
        <v>25743.45</v>
      </c>
      <c r="D527" s="77">
        <v>25553.65</v>
      </c>
      <c r="E527" s="77">
        <v>25696.84</v>
      </c>
      <c r="F527" s="77">
        <v>25682.22</v>
      </c>
      <c r="G527" s="77">
        <v>25689</v>
      </c>
      <c r="H527" s="77">
        <v>25853.279999999999</v>
      </c>
      <c r="I527" s="77">
        <v>25636.36</v>
      </c>
      <c r="J527" s="77">
        <v>25564.06</v>
      </c>
      <c r="K527" s="77">
        <v>25786.36</v>
      </c>
      <c r="L527" s="99"/>
      <c r="M527" s="99"/>
      <c r="N527" s="99"/>
      <c r="O527" s="99"/>
      <c r="P527" s="99"/>
      <c r="Q527" s="100"/>
      <c r="R527" s="101"/>
      <c r="T527" s="97">
        <v>9000</v>
      </c>
      <c r="U527" s="77">
        <v>8090</v>
      </c>
      <c r="V527" s="77">
        <v>12070</v>
      </c>
    </row>
    <row r="528" spans="1:23" ht="15.75" thickBot="1">
      <c r="A528" s="108"/>
      <c r="B528" s="22" t="s">
        <v>136</v>
      </c>
      <c r="C528" s="23">
        <f t="shared" ref="C528:K528" si="172">IF(((C526="")*AND(C527="")),"",(C526-C527)*3)</f>
        <v>9757.4699999999939</v>
      </c>
      <c r="D528" s="23">
        <f t="shared" si="172"/>
        <v>9853.5</v>
      </c>
      <c r="E528" s="23">
        <f t="shared" si="172"/>
        <v>9556.98</v>
      </c>
      <c r="F528" s="23">
        <f t="shared" si="172"/>
        <v>9477.75</v>
      </c>
      <c r="G528" s="23">
        <f t="shared" si="172"/>
        <v>10047.330000000002</v>
      </c>
      <c r="H528" s="23">
        <f t="shared" si="172"/>
        <v>9419.73</v>
      </c>
      <c r="I528" s="23">
        <f t="shared" si="172"/>
        <v>9562.7399999999943</v>
      </c>
      <c r="J528" s="23">
        <f t="shared" si="172"/>
        <v>9808.7099999999991</v>
      </c>
      <c r="K528" s="23">
        <f t="shared" si="172"/>
        <v>9725.0400000000009</v>
      </c>
      <c r="L528" s="103"/>
      <c r="M528" s="103"/>
      <c r="N528" s="103"/>
      <c r="O528" s="103"/>
      <c r="P528" s="103"/>
      <c r="Q528" s="104"/>
      <c r="R528" s="105"/>
      <c r="T528" s="97">
        <v>9000</v>
      </c>
      <c r="U528" s="77">
        <v>8090</v>
      </c>
      <c r="V528" s="77">
        <v>12070</v>
      </c>
    </row>
    <row r="529" spans="1:23">
      <c r="A529" s="110">
        <v>43265</v>
      </c>
      <c r="B529" s="21" t="s">
        <v>133</v>
      </c>
      <c r="C529" s="77">
        <v>29005.91</v>
      </c>
      <c r="D529" s="77">
        <v>28844.07</v>
      </c>
      <c r="E529" s="77">
        <v>28835.65</v>
      </c>
      <c r="F529" s="77">
        <v>28841.98</v>
      </c>
      <c r="G529" s="77">
        <v>29053.07</v>
      </c>
      <c r="H529" s="77">
        <v>29008.66</v>
      </c>
      <c r="I529" s="77">
        <v>28824.82</v>
      </c>
      <c r="J529" s="77">
        <v>28834.89</v>
      </c>
      <c r="K529" s="77">
        <v>29055.43</v>
      </c>
      <c r="L529" s="24">
        <f>IF((K530=""),"",MAX(C531:K531))</f>
        <v>9720.8700000000026</v>
      </c>
      <c r="M529" s="30">
        <f>IF(K530="","",MIN(C531:K531))</f>
        <v>8241.9599999999991</v>
      </c>
      <c r="N529" s="24">
        <f>IF((K531=""),"",AVERAGE(C531:K531))</f>
        <v>9333.8099999999977</v>
      </c>
      <c r="O529" s="24">
        <f>IF((K530=""),"",STDEV(C531:K531))</f>
        <v>464.2539702576878</v>
      </c>
      <c r="P529" s="24">
        <f>IF((K530=""),"",O529/N529*100)</f>
        <v>4.973895657375583</v>
      </c>
      <c r="Q529" s="26" t="str">
        <f>IF(K530="","",IF(P529&lt;15,IF(M529&gt;9000,IF(N529&lt;15600,"Pass","Fail"),"Fail"),"Fail"))</f>
        <v>Fail</v>
      </c>
      <c r="R529" s="118">
        <v>1159</v>
      </c>
      <c r="T529" s="97">
        <v>9000</v>
      </c>
      <c r="U529" s="77">
        <v>8090</v>
      </c>
      <c r="V529" s="77">
        <v>12070</v>
      </c>
      <c r="W529" s="77">
        <v>6</v>
      </c>
    </row>
    <row r="530" spans="1:23">
      <c r="A530" s="107"/>
      <c r="B530" s="21" t="s">
        <v>135</v>
      </c>
      <c r="C530" s="77">
        <v>26258.59</v>
      </c>
      <c r="D530" s="77">
        <v>25790.63</v>
      </c>
      <c r="E530" s="77">
        <v>25722.42</v>
      </c>
      <c r="F530" s="77">
        <v>25601.69</v>
      </c>
      <c r="G530" s="77">
        <v>25813.24</v>
      </c>
      <c r="H530" s="77">
        <v>25797.97</v>
      </c>
      <c r="I530" s="77">
        <v>25609.9</v>
      </c>
      <c r="J530" s="77">
        <v>25720.15</v>
      </c>
      <c r="K530" s="77">
        <v>25988.46</v>
      </c>
      <c r="L530" s="99"/>
      <c r="M530" s="99"/>
      <c r="N530" s="99"/>
      <c r="O530" s="99"/>
      <c r="P530" s="99"/>
      <c r="Q530" s="100"/>
      <c r="R530" s="101"/>
      <c r="T530" s="97">
        <v>9000</v>
      </c>
      <c r="U530" s="77">
        <v>8090</v>
      </c>
      <c r="V530" s="77">
        <v>12070</v>
      </c>
    </row>
    <row r="531" spans="1:23" ht="15.75" thickBot="1">
      <c r="A531" s="108"/>
      <c r="B531" s="22" t="s">
        <v>136</v>
      </c>
      <c r="C531" s="23">
        <f t="shared" ref="C531:K531" si="173">IF(((C529="")*AND(C530="")),"",(C529-C530)*3)</f>
        <v>8241.9599999999991</v>
      </c>
      <c r="D531" s="23">
        <f t="shared" si="173"/>
        <v>9160.3199999999961</v>
      </c>
      <c r="E531" s="23">
        <f t="shared" si="173"/>
        <v>9339.6900000000096</v>
      </c>
      <c r="F531" s="23">
        <f t="shared" si="173"/>
        <v>9720.8700000000026</v>
      </c>
      <c r="G531" s="23">
        <f t="shared" si="173"/>
        <v>9719.4899999999943</v>
      </c>
      <c r="H531" s="23">
        <f t="shared" si="173"/>
        <v>9632.0699999999961</v>
      </c>
      <c r="I531" s="23">
        <f t="shared" si="173"/>
        <v>9644.7599999999948</v>
      </c>
      <c r="J531" s="23">
        <f t="shared" si="173"/>
        <v>9344.2199999999939</v>
      </c>
      <c r="K531" s="23">
        <f t="shared" si="173"/>
        <v>9200.9100000000035</v>
      </c>
      <c r="L531" s="103"/>
      <c r="M531" s="103"/>
      <c r="N531" s="103"/>
      <c r="O531" s="103"/>
      <c r="P531" s="103"/>
      <c r="Q531" s="104"/>
      <c r="R531" s="105"/>
      <c r="T531" s="97">
        <v>9000</v>
      </c>
      <c r="U531" s="77">
        <v>8090</v>
      </c>
      <c r="V531" s="77">
        <v>12070</v>
      </c>
    </row>
    <row r="532" spans="1:23">
      <c r="A532" s="110">
        <v>43265</v>
      </c>
      <c r="B532" s="21" t="s">
        <v>133</v>
      </c>
      <c r="C532" s="77">
        <v>29036.79</v>
      </c>
      <c r="D532" s="77">
        <v>28865.94</v>
      </c>
      <c r="E532" s="77">
        <v>28848.58</v>
      </c>
      <c r="F532" s="77">
        <v>28855.54</v>
      </c>
      <c r="G532" s="77">
        <v>29030.639999999999</v>
      </c>
      <c r="H532" s="77">
        <v>28998.26</v>
      </c>
      <c r="I532" s="77">
        <v>28845.43</v>
      </c>
      <c r="J532" s="77">
        <v>28866.81</v>
      </c>
      <c r="K532" s="77">
        <v>29099.23</v>
      </c>
      <c r="L532" s="24">
        <f>IF((K533=""),"",MAX(C534:K534))</f>
        <v>9973.1099999999969</v>
      </c>
      <c r="M532" s="30">
        <f>IF(K533="","",MIN(C534:K534))</f>
        <v>9016.8900000000031</v>
      </c>
      <c r="N532" s="24">
        <f>IF((K534=""),"",AVERAGE(C534:K534))</f>
        <v>9567.1533333333336</v>
      </c>
      <c r="O532" s="24">
        <f>IF((K533=""),"",STDEV(C534:K534))</f>
        <v>299.91166303598385</v>
      </c>
      <c r="P532" s="24">
        <f>IF((K533=""),"",O532/N532*100)</f>
        <v>3.1348056478937014</v>
      </c>
      <c r="Q532" s="26" t="str">
        <f>IF(K533="","",IF(P532&lt;15,IF(M532&gt;9000,IF(N532&lt;15600,"Pass","Fail"),"Fail"),"Fail"))</f>
        <v>Pass</v>
      </c>
      <c r="R532" s="118">
        <v>1159</v>
      </c>
      <c r="S532" s="77" t="s">
        <v>243</v>
      </c>
      <c r="T532" s="97">
        <v>9000</v>
      </c>
      <c r="U532" s="77">
        <v>8090</v>
      </c>
      <c r="V532" s="77">
        <v>12070</v>
      </c>
      <c r="W532" s="77">
        <v>6</v>
      </c>
    </row>
    <row r="533" spans="1:23">
      <c r="A533" s="107"/>
      <c r="B533" s="21" t="s">
        <v>135</v>
      </c>
      <c r="C533" s="77">
        <v>26031.16</v>
      </c>
      <c r="D533" s="77">
        <v>25750.51</v>
      </c>
      <c r="E533" s="77">
        <v>25705.47</v>
      </c>
      <c r="F533" s="77">
        <v>25617.39</v>
      </c>
      <c r="G533" s="77">
        <v>25706.27</v>
      </c>
      <c r="H533" s="77">
        <v>25682.560000000001</v>
      </c>
      <c r="I533" s="77">
        <v>25634.82</v>
      </c>
      <c r="J533" s="77">
        <v>25716.17</v>
      </c>
      <c r="K533" s="77">
        <v>25901.41</v>
      </c>
      <c r="L533" s="99"/>
      <c r="M533" s="99"/>
      <c r="N533" s="99"/>
      <c r="O533" s="99"/>
      <c r="P533" s="99"/>
      <c r="Q533" s="100"/>
      <c r="R533" s="101"/>
      <c r="T533" s="97">
        <v>9000</v>
      </c>
      <c r="U533" s="77">
        <v>8090</v>
      </c>
      <c r="V533" s="77">
        <v>12070</v>
      </c>
    </row>
    <row r="534" spans="1:23" ht="15.75" thickBot="1">
      <c r="A534" s="108"/>
      <c r="B534" s="22" t="s">
        <v>136</v>
      </c>
      <c r="C534" s="23">
        <f t="shared" ref="C534:K534" si="174">IF(((C532="")*AND(C533="")),"",(C532-C533)*3)</f>
        <v>9016.8900000000031</v>
      </c>
      <c r="D534" s="23">
        <f t="shared" si="174"/>
        <v>9346.2900000000009</v>
      </c>
      <c r="E534" s="23">
        <f t="shared" si="174"/>
        <v>9429.3300000000017</v>
      </c>
      <c r="F534" s="23">
        <f t="shared" si="174"/>
        <v>9714.4500000000044</v>
      </c>
      <c r="G534" s="23">
        <f t="shared" si="174"/>
        <v>9973.1099999999969</v>
      </c>
      <c r="H534" s="23">
        <f t="shared" si="174"/>
        <v>9947.0999999999913</v>
      </c>
      <c r="I534" s="23">
        <f t="shared" si="174"/>
        <v>9631.8300000000017</v>
      </c>
      <c r="J534" s="23">
        <f t="shared" si="174"/>
        <v>9451.9200000000092</v>
      </c>
      <c r="K534" s="23">
        <f t="shared" si="174"/>
        <v>9593.4599999999991</v>
      </c>
      <c r="L534" s="103"/>
      <c r="M534" s="103"/>
      <c r="N534" s="103"/>
      <c r="O534" s="103"/>
      <c r="P534" s="103"/>
      <c r="Q534" s="104"/>
      <c r="R534" s="105"/>
      <c r="T534" s="97">
        <v>9000</v>
      </c>
      <c r="U534" s="77">
        <v>8090</v>
      </c>
      <c r="V534" s="77">
        <v>12070</v>
      </c>
    </row>
    <row r="535" spans="1:23">
      <c r="A535" s="110">
        <v>43271</v>
      </c>
      <c r="B535" s="21" t="s">
        <v>133</v>
      </c>
      <c r="C535" s="77">
        <v>29069</v>
      </c>
      <c r="D535" s="77">
        <v>28956</v>
      </c>
      <c r="E535" s="77">
        <v>28971</v>
      </c>
      <c r="F535" s="77">
        <v>28957</v>
      </c>
      <c r="G535" s="77">
        <v>29047</v>
      </c>
      <c r="H535" s="77">
        <v>29050</v>
      </c>
      <c r="I535" s="77">
        <v>28951</v>
      </c>
      <c r="J535" s="77">
        <v>28957</v>
      </c>
      <c r="K535" s="77">
        <v>29051</v>
      </c>
      <c r="L535" s="24">
        <f>IF((K536=""),"",MAX(C537:K537))</f>
        <v>10551</v>
      </c>
      <c r="M535" s="30">
        <f>IF(K536="","",MIN(C537:K537))</f>
        <v>9222</v>
      </c>
      <c r="N535" s="24">
        <f>IF((K537=""),"",AVERAGE(C537:K537))</f>
        <v>10157.666666666666</v>
      </c>
      <c r="O535" s="24">
        <f>IF((K536=""),"",STDEV(C537:K537))</f>
        <v>395.78813777070178</v>
      </c>
      <c r="P535" s="24">
        <f>IF((K536=""),"",O535/N535*100)</f>
        <v>3.8964473905165407</v>
      </c>
      <c r="Q535" s="26" t="str">
        <f>IF(K536="","",IF(P535&lt;15,IF(M535&gt;9000,IF(N535&lt;15600,"Pass","Fail"),"Fail"),"Fail"))</f>
        <v>Pass</v>
      </c>
      <c r="R535" s="118">
        <v>1519</v>
      </c>
      <c r="T535" s="97">
        <v>9000</v>
      </c>
      <c r="U535" s="77">
        <v>8090</v>
      </c>
      <c r="V535" s="77">
        <v>12070</v>
      </c>
      <c r="W535" s="77">
        <v>6</v>
      </c>
    </row>
    <row r="536" spans="1:23">
      <c r="A536" s="107"/>
      <c r="B536" s="21" t="s">
        <v>135</v>
      </c>
      <c r="C536" s="77">
        <v>25552</v>
      </c>
      <c r="D536" s="77">
        <v>25479</v>
      </c>
      <c r="E536" s="77">
        <v>25580</v>
      </c>
      <c r="F536" s="77">
        <v>25622</v>
      </c>
      <c r="G536" s="77">
        <v>25973</v>
      </c>
      <c r="H536" s="77">
        <v>25698</v>
      </c>
      <c r="I536" s="77">
        <v>25554</v>
      </c>
      <c r="J536" s="77">
        <v>25498</v>
      </c>
      <c r="K536" s="77">
        <v>25580</v>
      </c>
      <c r="L536" s="99"/>
      <c r="M536" s="99"/>
      <c r="N536" s="99"/>
      <c r="O536" s="99"/>
      <c r="P536" s="99"/>
      <c r="Q536" s="100"/>
      <c r="R536" s="101"/>
      <c r="T536" s="97">
        <v>9000</v>
      </c>
      <c r="U536" s="77">
        <v>8090</v>
      </c>
      <c r="V536" s="77">
        <v>12070</v>
      </c>
    </row>
    <row r="537" spans="1:23" ht="15.75" thickBot="1">
      <c r="A537" s="108"/>
      <c r="B537" s="22" t="s">
        <v>136</v>
      </c>
      <c r="C537" s="23">
        <f t="shared" ref="C537:K537" si="175">IF(((C535="")*AND(C536="")),"",(C535-C536)*3)</f>
        <v>10551</v>
      </c>
      <c r="D537" s="23">
        <f t="shared" si="175"/>
        <v>10431</v>
      </c>
      <c r="E537" s="23">
        <f t="shared" si="175"/>
        <v>10173</v>
      </c>
      <c r="F537" s="23">
        <f t="shared" si="175"/>
        <v>10005</v>
      </c>
      <c r="G537" s="23">
        <f t="shared" si="175"/>
        <v>9222</v>
      </c>
      <c r="H537" s="23">
        <f t="shared" si="175"/>
        <v>10056</v>
      </c>
      <c r="I537" s="23">
        <f t="shared" si="175"/>
        <v>10191</v>
      </c>
      <c r="J537" s="23">
        <f t="shared" si="175"/>
        <v>10377</v>
      </c>
      <c r="K537" s="23">
        <f t="shared" si="175"/>
        <v>10413</v>
      </c>
      <c r="L537" s="103"/>
      <c r="M537" s="103"/>
      <c r="N537" s="103"/>
      <c r="O537" s="103"/>
      <c r="P537" s="103"/>
      <c r="Q537" s="104"/>
      <c r="R537" s="105"/>
      <c r="T537" s="97">
        <v>9000</v>
      </c>
      <c r="U537" s="77">
        <v>8090</v>
      </c>
      <c r="V537" s="77">
        <v>12070</v>
      </c>
    </row>
    <row r="538" spans="1:23">
      <c r="A538" s="110">
        <v>43276</v>
      </c>
      <c r="B538" s="21" t="s">
        <v>133</v>
      </c>
      <c r="C538" s="77">
        <v>28948.66</v>
      </c>
      <c r="D538" s="77">
        <v>28904.41</v>
      </c>
      <c r="E538" s="77">
        <v>28941.68</v>
      </c>
      <c r="F538" s="77">
        <v>28878.09</v>
      </c>
      <c r="G538" s="77">
        <v>28966.880000000001</v>
      </c>
      <c r="H538" s="77">
        <v>28972.16</v>
      </c>
      <c r="I538" s="77">
        <v>28894.62</v>
      </c>
      <c r="J538" s="77">
        <v>28866.240000000002</v>
      </c>
      <c r="K538" s="77">
        <v>28925.13</v>
      </c>
      <c r="L538" s="24">
        <f>IF((K539=""),"",MAX(C540:K540))</f>
        <v>11571.21</v>
      </c>
      <c r="M538" s="30">
        <f>IF(K539="","",MIN(C540:K540))</f>
        <v>10500.120000000003</v>
      </c>
      <c r="N538" s="24">
        <f>IF((K540=""),"",AVERAGE(C540:K540))</f>
        <v>11244.92</v>
      </c>
      <c r="O538" s="24">
        <f>IF((K539=""),"",STDEV(C540:K540))</f>
        <v>333.58466241724585</v>
      </c>
      <c r="P538" s="24">
        <f>IF((K539=""),"",O538/N538*100)</f>
        <v>2.9665365553267242</v>
      </c>
      <c r="Q538" s="26" t="str">
        <f>IF(K539="","",IF(P538&lt;15,IF(M538&gt;9000,IF(N538&lt;15600,"Pass","Fail"),"Fail"),"Fail"))</f>
        <v>Pass</v>
      </c>
      <c r="R538" s="118">
        <v>1335</v>
      </c>
      <c r="S538" s="77" t="s">
        <v>244</v>
      </c>
      <c r="T538" s="97">
        <v>9000</v>
      </c>
      <c r="U538" s="77">
        <v>8090</v>
      </c>
      <c r="V538" s="77">
        <v>12070</v>
      </c>
      <c r="W538" s="77">
        <v>6</v>
      </c>
    </row>
    <row r="539" spans="1:23">
      <c r="A539" s="107"/>
      <c r="B539" s="21" t="s">
        <v>135</v>
      </c>
      <c r="C539" s="77">
        <v>25448.62</v>
      </c>
      <c r="D539" s="77">
        <v>25172.83</v>
      </c>
      <c r="E539" s="77">
        <v>25178.16</v>
      </c>
      <c r="F539" s="77">
        <v>25021.02</v>
      </c>
      <c r="G539" s="77">
        <v>25130.080000000002</v>
      </c>
      <c r="H539" s="77">
        <v>25167.87</v>
      </c>
      <c r="I539" s="77">
        <v>25059.65</v>
      </c>
      <c r="J539" s="77">
        <v>25128.35</v>
      </c>
      <c r="K539" s="77">
        <v>25256.53</v>
      </c>
      <c r="L539" s="99"/>
      <c r="M539" s="99"/>
      <c r="N539" s="99"/>
      <c r="O539" s="99"/>
      <c r="P539" s="99"/>
      <c r="Q539" s="100"/>
      <c r="R539" s="101"/>
      <c r="T539" s="97">
        <v>9000</v>
      </c>
      <c r="U539" s="77">
        <v>8090</v>
      </c>
      <c r="V539" s="77">
        <v>12070</v>
      </c>
    </row>
    <row r="540" spans="1:23" ht="15.75" thickBot="1">
      <c r="A540" s="108"/>
      <c r="B540" s="22" t="s">
        <v>136</v>
      </c>
      <c r="C540" s="23">
        <f t="shared" ref="C540:K540" si="176">IF(((C538="")*AND(C539="")),"",(C538-C539)*3)</f>
        <v>10500.120000000003</v>
      </c>
      <c r="D540" s="23">
        <f t="shared" si="176"/>
        <v>11194.739999999994</v>
      </c>
      <c r="E540" s="23">
        <f t="shared" si="176"/>
        <v>11290.560000000001</v>
      </c>
      <c r="F540" s="23">
        <f t="shared" si="176"/>
        <v>11571.21</v>
      </c>
      <c r="G540" s="23">
        <f t="shared" si="176"/>
        <v>11510.399999999998</v>
      </c>
      <c r="H540" s="23">
        <f t="shared" si="176"/>
        <v>11412.870000000003</v>
      </c>
      <c r="I540" s="23">
        <f t="shared" si="176"/>
        <v>11504.909999999993</v>
      </c>
      <c r="J540" s="23">
        <f t="shared" si="176"/>
        <v>11213.670000000009</v>
      </c>
      <c r="K540" s="23">
        <f t="shared" si="176"/>
        <v>11005.800000000007</v>
      </c>
      <c r="L540" s="103"/>
      <c r="M540" s="103"/>
      <c r="N540" s="103"/>
      <c r="O540" s="103"/>
      <c r="P540" s="103"/>
      <c r="Q540" s="104"/>
      <c r="R540" s="105"/>
      <c r="T540" s="97">
        <v>9000</v>
      </c>
      <c r="U540" s="77">
        <v>8090</v>
      </c>
      <c r="V540" s="77">
        <v>12070</v>
      </c>
    </row>
    <row r="541" spans="1:23">
      <c r="A541" s="110">
        <v>43280</v>
      </c>
      <c r="B541" s="21" t="s">
        <v>133</v>
      </c>
      <c r="C541" s="77">
        <v>28857.75</v>
      </c>
      <c r="D541" s="77">
        <v>28754.71</v>
      </c>
      <c r="E541" s="77">
        <v>28736.98</v>
      </c>
      <c r="F541" s="77">
        <v>28747.040000000001</v>
      </c>
      <c r="G541" s="77">
        <v>28812.47</v>
      </c>
      <c r="H541" s="77">
        <v>28830.51</v>
      </c>
      <c r="I541" s="77">
        <v>28735.86</v>
      </c>
      <c r="J541" s="77">
        <v>28754.45</v>
      </c>
      <c r="K541" s="77">
        <v>28863.32</v>
      </c>
      <c r="L541" s="24">
        <f>IF((K542=""),"",MAX(C543:K543))</f>
        <v>10369.889999999992</v>
      </c>
      <c r="M541" s="30">
        <f>IF(K542="","",MIN(C543:K543))</f>
        <v>9375.48</v>
      </c>
      <c r="N541" s="24">
        <f>IF((K543=""),"",AVERAGE(C543:K543))</f>
        <v>10090.416666666666</v>
      </c>
      <c r="O541" s="24">
        <f>IF((K542=""),"",STDEV(C543:K543))</f>
        <v>320.4630168989944</v>
      </c>
      <c r="P541" s="24">
        <f>IF((K542=""),"",O541/N541*100)</f>
        <v>3.1759146077449172</v>
      </c>
      <c r="Q541" s="26" t="str">
        <f>IF(K542="","",IF(P541&lt;15,IF(M541&gt;9000,IF(N541&lt;15600,"Pass","Fail"),"Fail"),"Fail"))</f>
        <v>Pass</v>
      </c>
      <c r="R541" s="118">
        <v>1340</v>
      </c>
      <c r="T541" s="97">
        <v>9000</v>
      </c>
      <c r="U541" s="77">
        <v>8090</v>
      </c>
      <c r="V541" s="77">
        <v>12070</v>
      </c>
      <c r="W541" s="77">
        <v>6</v>
      </c>
    </row>
    <row r="542" spans="1:23">
      <c r="A542" s="107"/>
      <c r="B542" s="21" t="s">
        <v>135</v>
      </c>
      <c r="C542" s="77">
        <v>25411.26</v>
      </c>
      <c r="D542" s="77">
        <v>25298.080000000002</v>
      </c>
      <c r="E542" s="77">
        <v>25378.12</v>
      </c>
      <c r="F542" s="77">
        <v>25406.36</v>
      </c>
      <c r="G542" s="77">
        <v>25687.31</v>
      </c>
      <c r="H542" s="77">
        <v>25536</v>
      </c>
      <c r="I542" s="77">
        <v>25378.71</v>
      </c>
      <c r="J542" s="77">
        <v>25309.69</v>
      </c>
      <c r="K542" s="77">
        <v>25416.31</v>
      </c>
      <c r="L542" s="99"/>
      <c r="M542" s="99"/>
      <c r="N542" s="99"/>
      <c r="O542" s="99"/>
      <c r="P542" s="99"/>
      <c r="Q542" s="100"/>
      <c r="R542" s="101"/>
      <c r="T542" s="97">
        <v>9000</v>
      </c>
      <c r="U542" s="77">
        <v>8090</v>
      </c>
      <c r="V542" s="77">
        <v>12070</v>
      </c>
    </row>
    <row r="543" spans="1:23" ht="15.75" thickBot="1">
      <c r="A543" s="108"/>
      <c r="B543" s="22" t="s">
        <v>136</v>
      </c>
      <c r="C543" s="23">
        <f t="shared" ref="C543:K543" si="177">IF(((C541="")*AND(C542="")),"",(C541-C542)*3)</f>
        <v>10339.470000000005</v>
      </c>
      <c r="D543" s="23">
        <f t="shared" si="177"/>
        <v>10369.889999999992</v>
      </c>
      <c r="E543" s="23">
        <f t="shared" si="177"/>
        <v>10076.580000000002</v>
      </c>
      <c r="F543" s="23">
        <f t="shared" si="177"/>
        <v>10022.040000000001</v>
      </c>
      <c r="G543" s="23">
        <f t="shared" si="177"/>
        <v>9375.48</v>
      </c>
      <c r="H543" s="23">
        <f t="shared" si="177"/>
        <v>9883.5299999999952</v>
      </c>
      <c r="I543" s="23">
        <f t="shared" si="177"/>
        <v>10071.450000000004</v>
      </c>
      <c r="J543" s="23">
        <f t="shared" si="177"/>
        <v>10334.280000000006</v>
      </c>
      <c r="K543" s="23">
        <f t="shared" si="177"/>
        <v>10341.029999999995</v>
      </c>
      <c r="L543" s="103"/>
      <c r="M543" s="103"/>
      <c r="N543" s="103"/>
      <c r="O543" s="103"/>
      <c r="P543" s="103"/>
      <c r="Q543" s="104"/>
      <c r="R543" s="105"/>
      <c r="T543" s="97">
        <v>9000</v>
      </c>
      <c r="U543" s="77">
        <v>8090</v>
      </c>
      <c r="V543" s="77">
        <v>12070</v>
      </c>
    </row>
    <row r="544" spans="1:23">
      <c r="A544" s="110">
        <v>43284</v>
      </c>
      <c r="B544" s="21" t="s">
        <v>133</v>
      </c>
      <c r="C544" s="77">
        <v>28854.5</v>
      </c>
      <c r="D544" s="77">
        <v>28769.22</v>
      </c>
      <c r="E544" s="77">
        <v>28758.21</v>
      </c>
      <c r="F544" s="77">
        <v>28756.19</v>
      </c>
      <c r="G544" s="77">
        <v>28858.68</v>
      </c>
      <c r="H544" s="77">
        <v>28857.599999999999</v>
      </c>
      <c r="I544" s="77">
        <v>28756.42</v>
      </c>
      <c r="J544" s="77">
        <v>28744.63</v>
      </c>
      <c r="K544" s="77">
        <v>28845.67</v>
      </c>
      <c r="L544" s="24">
        <f>IF((K545=""),"",MAX(C546:K546))</f>
        <v>9645.7799999999952</v>
      </c>
      <c r="M544" s="30">
        <f>IF(K545="","",MIN(C546:K546))</f>
        <v>9277.1099999999969</v>
      </c>
      <c r="N544" s="24">
        <f>IF((K546=""),"",AVERAGE(C546:K546))</f>
        <v>9487.9533333333311</v>
      </c>
      <c r="O544" s="24">
        <f>IF((K545=""),"",STDEV(C546:K546))</f>
        <v>107.62185094113619</v>
      </c>
      <c r="P544" s="24">
        <f>IF((K545=""),"",O544/N544*100)</f>
        <v>1.1342999608043625</v>
      </c>
      <c r="Q544" s="26" t="str">
        <f>IF(K545="","",IF(P544&lt;15,IF(M544&gt;9000,IF(N544&lt;15600,"Pass","Fail"),"Fail"),"Fail"))</f>
        <v>Pass</v>
      </c>
      <c r="R544" s="118">
        <v>1159</v>
      </c>
      <c r="S544" s="77" t="s">
        <v>245</v>
      </c>
      <c r="T544" s="97">
        <v>9000</v>
      </c>
      <c r="U544" s="77">
        <v>8090</v>
      </c>
      <c r="V544" s="77">
        <v>12070</v>
      </c>
      <c r="W544" s="77">
        <v>6</v>
      </c>
    </row>
    <row r="545" spans="1:23">
      <c r="A545" s="107"/>
      <c r="B545" s="21" t="s">
        <v>135</v>
      </c>
      <c r="C545" s="77">
        <v>25762.13</v>
      </c>
      <c r="D545" s="77">
        <v>25614.28</v>
      </c>
      <c r="E545" s="77">
        <v>25632.38</v>
      </c>
      <c r="F545" s="77">
        <v>25571.37</v>
      </c>
      <c r="G545" s="77">
        <v>25682.01</v>
      </c>
      <c r="H545" s="77">
        <v>25693.22</v>
      </c>
      <c r="I545" s="77">
        <v>25591.3</v>
      </c>
      <c r="J545" s="77">
        <v>25560.16</v>
      </c>
      <c r="K545" s="77">
        <v>25630.41</v>
      </c>
      <c r="L545" s="99"/>
      <c r="M545" s="99"/>
      <c r="N545" s="99"/>
      <c r="O545" s="99"/>
      <c r="P545" s="99"/>
      <c r="Q545" s="100"/>
      <c r="R545" s="101"/>
      <c r="T545" s="97">
        <v>9000</v>
      </c>
      <c r="U545" s="77">
        <v>8090</v>
      </c>
      <c r="V545" s="77">
        <v>12070</v>
      </c>
    </row>
    <row r="546" spans="1:23" ht="15.75" thickBot="1">
      <c r="A546" s="108"/>
      <c r="B546" s="22" t="s">
        <v>136</v>
      </c>
      <c r="C546" s="23">
        <f t="shared" ref="C546:K546" si="178">IF(((C544="")*AND(C545="")),"",(C544-C545)*3)</f>
        <v>9277.1099999999969</v>
      </c>
      <c r="D546" s="23">
        <f t="shared" si="178"/>
        <v>9464.820000000007</v>
      </c>
      <c r="E546" s="23">
        <f t="shared" si="178"/>
        <v>9377.4899999999943</v>
      </c>
      <c r="F546" s="23">
        <f t="shared" si="178"/>
        <v>9554.4599999999991</v>
      </c>
      <c r="G546" s="23">
        <f t="shared" si="178"/>
        <v>9530.0100000000057</v>
      </c>
      <c r="H546" s="23">
        <f t="shared" si="178"/>
        <v>9493.1399999999921</v>
      </c>
      <c r="I546" s="23">
        <f t="shared" si="178"/>
        <v>9495.3599999999969</v>
      </c>
      <c r="J546" s="23">
        <f t="shared" si="178"/>
        <v>9553.4100000000035</v>
      </c>
      <c r="K546" s="23">
        <f t="shared" si="178"/>
        <v>9645.7799999999952</v>
      </c>
      <c r="L546" s="103"/>
      <c r="M546" s="103"/>
      <c r="N546" s="103"/>
      <c r="O546" s="103"/>
      <c r="P546" s="103"/>
      <c r="Q546" s="104"/>
      <c r="R546" s="105"/>
      <c r="T546" s="97">
        <v>9000</v>
      </c>
      <c r="U546" s="77">
        <v>8090</v>
      </c>
      <c r="V546" s="77">
        <v>12070</v>
      </c>
    </row>
    <row r="547" spans="1:23">
      <c r="A547" s="110">
        <v>43288</v>
      </c>
      <c r="B547" s="21" t="s">
        <v>133</v>
      </c>
      <c r="C547" s="77">
        <v>28169.33</v>
      </c>
      <c r="D547" s="77">
        <v>28134.36</v>
      </c>
      <c r="E547" s="77">
        <v>28144.73</v>
      </c>
      <c r="F547" s="77">
        <v>28079.439999999999</v>
      </c>
      <c r="G547" s="77">
        <v>28090.83</v>
      </c>
      <c r="H547" s="77">
        <v>28024.19</v>
      </c>
      <c r="I547" s="77">
        <v>28082</v>
      </c>
      <c r="J547" s="77">
        <v>28128.49</v>
      </c>
      <c r="K547" s="77">
        <v>28102.99</v>
      </c>
      <c r="L547" s="24">
        <f>IF((K548=""),"",MAX(C549:K549))</f>
        <v>14684.009999999995</v>
      </c>
      <c r="M547" s="30">
        <f>IF(K548="","",MIN(C549:K549))</f>
        <v>10295.970000000005</v>
      </c>
      <c r="N547" s="24">
        <f>IF((K549=""),"",AVERAGE(C549:K549))</f>
        <v>12160.82</v>
      </c>
      <c r="O547" s="24">
        <f>IF((K548=""),"",STDEV(C549:K549))</f>
        <v>1317.7200702634093</v>
      </c>
      <c r="P547" s="24">
        <f>IF((K548=""),"",O547/N547*100)</f>
        <v>10.835783033244544</v>
      </c>
      <c r="Q547" s="26" t="str">
        <f>IF(K548="","",IF(P547&lt;15,IF(M547&gt;9000,IF(N547&lt;15600,"Pass","Fail"),"Fail"),"Fail"))</f>
        <v>Pass</v>
      </c>
      <c r="R547" s="118">
        <v>1428</v>
      </c>
      <c r="S547" s="77" t="s">
        <v>246</v>
      </c>
      <c r="T547" s="97">
        <v>9000</v>
      </c>
      <c r="U547" s="77">
        <v>8090</v>
      </c>
      <c r="V547" s="77">
        <v>12070</v>
      </c>
      <c r="W547" s="77">
        <v>6</v>
      </c>
    </row>
    <row r="548" spans="1:23">
      <c r="A548" s="107"/>
      <c r="B548" s="21" t="s">
        <v>135</v>
      </c>
      <c r="C548" s="77">
        <v>23870.46</v>
      </c>
      <c r="D548" s="77">
        <v>24065.29</v>
      </c>
      <c r="E548" s="77">
        <v>23250.06</v>
      </c>
      <c r="F548" s="77">
        <v>24028.639999999999</v>
      </c>
      <c r="G548" s="77">
        <v>23775.13</v>
      </c>
      <c r="H548" s="77">
        <v>24153.5</v>
      </c>
      <c r="I548" s="77">
        <v>24563.8</v>
      </c>
      <c r="J548" s="77">
        <v>24696.5</v>
      </c>
      <c r="K548" s="77">
        <v>24070.52</v>
      </c>
      <c r="L548" s="99"/>
      <c r="M548" s="99"/>
      <c r="N548" s="99"/>
      <c r="O548" s="99"/>
      <c r="P548" s="99"/>
      <c r="Q548" s="100"/>
      <c r="R548" s="101"/>
      <c r="T548" s="97">
        <v>9000</v>
      </c>
      <c r="U548" s="77">
        <v>8090</v>
      </c>
      <c r="V548" s="77">
        <v>12070</v>
      </c>
    </row>
    <row r="549" spans="1:23" ht="15.75" thickBot="1">
      <c r="A549" s="108"/>
      <c r="B549" s="22" t="s">
        <v>136</v>
      </c>
      <c r="C549" s="23">
        <f t="shared" ref="C549:K549" si="179">IF(((C547="")*AND(C548="")),"",(C547-C548)*3)</f>
        <v>12896.610000000008</v>
      </c>
      <c r="D549" s="23">
        <f t="shared" si="179"/>
        <v>12207.21</v>
      </c>
      <c r="E549" s="23">
        <f t="shared" si="179"/>
        <v>14684.009999999995</v>
      </c>
      <c r="F549" s="23">
        <f t="shared" si="179"/>
        <v>12152.399999999998</v>
      </c>
      <c r="G549" s="23">
        <f t="shared" si="179"/>
        <v>12947.100000000002</v>
      </c>
      <c r="H549" s="23">
        <f t="shared" si="179"/>
        <v>11612.069999999996</v>
      </c>
      <c r="I549" s="23">
        <f t="shared" si="179"/>
        <v>10554.600000000002</v>
      </c>
      <c r="J549" s="23">
        <f t="shared" si="179"/>
        <v>10295.970000000005</v>
      </c>
      <c r="K549" s="23">
        <f t="shared" si="179"/>
        <v>12097.410000000003</v>
      </c>
      <c r="L549" s="103"/>
      <c r="M549" s="103"/>
      <c r="N549" s="103"/>
      <c r="O549" s="103"/>
      <c r="P549" s="103"/>
      <c r="Q549" s="104"/>
      <c r="R549" s="105"/>
      <c r="T549" s="97">
        <v>9000</v>
      </c>
      <c r="U549" s="77">
        <v>8090</v>
      </c>
      <c r="V549" s="77">
        <v>12070</v>
      </c>
    </row>
    <row r="550" spans="1:23">
      <c r="A550" s="110">
        <v>43293</v>
      </c>
      <c r="B550" s="21" t="s">
        <v>133</v>
      </c>
      <c r="C550" s="77">
        <v>28873.33</v>
      </c>
      <c r="D550" s="77">
        <v>28807.34</v>
      </c>
      <c r="E550" s="77">
        <v>28852.51</v>
      </c>
      <c r="F550" s="77">
        <v>28794.1</v>
      </c>
      <c r="G550" s="77">
        <v>28882.79</v>
      </c>
      <c r="H550" s="77">
        <v>28874.45</v>
      </c>
      <c r="I550" s="77">
        <v>28792.880000000001</v>
      </c>
      <c r="J550" s="77">
        <v>28800.57</v>
      </c>
      <c r="K550" s="77">
        <v>28855.48</v>
      </c>
      <c r="L550" s="24">
        <f>IF((K551=""),"",MAX(C552:K552))</f>
        <v>10351.740000000005</v>
      </c>
      <c r="M550" s="30">
        <f>IF(K551="","",MIN(C552:K552))</f>
        <v>9906.8999999999978</v>
      </c>
      <c r="N550" s="24">
        <f>IF((K552=""),"",AVERAGE(C552:K552))</f>
        <v>10221.686666666666</v>
      </c>
      <c r="O550" s="24">
        <f>IF((K551=""),"",STDEV(C552:K552))</f>
        <v>137.81258587293911</v>
      </c>
      <c r="P550" s="24">
        <f>IF((K551=""),"",O550/N550*100)</f>
        <v>1.3482372368383344</v>
      </c>
      <c r="Q550" s="26" t="str">
        <f>IF(K551="","",IF(P550&lt;15,IF(M550&gt;9000,IF(N550&lt;15600,"Pass","Fail"),"Fail"),"Fail"))</f>
        <v>Pass</v>
      </c>
      <c r="R550" s="118">
        <v>121</v>
      </c>
      <c r="T550" s="97">
        <v>9000</v>
      </c>
      <c r="U550" s="77">
        <v>8090</v>
      </c>
      <c r="V550" s="77">
        <v>12070</v>
      </c>
      <c r="W550" s="77">
        <v>6</v>
      </c>
    </row>
    <row r="551" spans="1:23">
      <c r="A551" s="107"/>
      <c r="B551" s="21" t="s">
        <v>135</v>
      </c>
      <c r="C551" s="77">
        <v>25436.49</v>
      </c>
      <c r="D551" s="77">
        <v>25362.63</v>
      </c>
      <c r="E551" s="77">
        <v>25474.86</v>
      </c>
      <c r="F551" s="77">
        <v>25402.61</v>
      </c>
      <c r="G551" s="77">
        <v>25580.49</v>
      </c>
      <c r="H551" s="77">
        <v>25423.87</v>
      </c>
      <c r="I551" s="77">
        <v>25366.71</v>
      </c>
      <c r="J551" s="77">
        <v>25380.46</v>
      </c>
      <c r="K551" s="77">
        <v>25440.27</v>
      </c>
      <c r="L551" s="99"/>
      <c r="M551" s="99"/>
      <c r="N551" s="99"/>
      <c r="O551" s="99"/>
      <c r="P551" s="99"/>
      <c r="Q551" s="100"/>
      <c r="R551" s="101"/>
      <c r="T551" s="97">
        <v>9000</v>
      </c>
      <c r="U551" s="77">
        <v>8090</v>
      </c>
      <c r="V551" s="77">
        <v>12070</v>
      </c>
    </row>
    <row r="552" spans="1:23" ht="15.75" thickBot="1">
      <c r="A552" s="108"/>
      <c r="B552" s="22" t="s">
        <v>136</v>
      </c>
      <c r="C552" s="23">
        <f t="shared" ref="C552:K552" si="180">IF(((C550="")*AND(C551="")),"",(C550-C551)*3)</f>
        <v>10310.52</v>
      </c>
      <c r="D552" s="23">
        <f t="shared" si="180"/>
        <v>10334.129999999997</v>
      </c>
      <c r="E552" s="23">
        <f t="shared" si="180"/>
        <v>10132.949999999993</v>
      </c>
      <c r="F552" s="23">
        <f t="shared" si="180"/>
        <v>10174.469999999994</v>
      </c>
      <c r="G552" s="23">
        <f t="shared" si="180"/>
        <v>9906.8999999999978</v>
      </c>
      <c r="H552" s="23">
        <f t="shared" si="180"/>
        <v>10351.740000000005</v>
      </c>
      <c r="I552" s="23">
        <f t="shared" si="180"/>
        <v>10278.510000000006</v>
      </c>
      <c r="J552" s="23">
        <f t="shared" si="180"/>
        <v>10260.330000000002</v>
      </c>
      <c r="K552" s="23">
        <f t="shared" si="180"/>
        <v>10245.629999999997</v>
      </c>
      <c r="L552" s="103"/>
      <c r="M552" s="103"/>
      <c r="N552" s="103"/>
      <c r="O552" s="103"/>
      <c r="P552" s="103"/>
      <c r="Q552" s="104"/>
      <c r="R552" s="105"/>
      <c r="T552" s="97">
        <v>9000</v>
      </c>
      <c r="U552" s="77">
        <v>8090</v>
      </c>
      <c r="V552" s="77">
        <v>12070</v>
      </c>
    </row>
    <row r="553" spans="1:23">
      <c r="A553" s="110">
        <v>43297</v>
      </c>
      <c r="B553" s="21" t="s">
        <v>133</v>
      </c>
      <c r="C553" s="77">
        <v>28939.32</v>
      </c>
      <c r="D553" s="77">
        <v>28886.7</v>
      </c>
      <c r="E553" s="77">
        <v>28939.52</v>
      </c>
      <c r="F553" s="77">
        <v>28881.23</v>
      </c>
      <c r="G553" s="77">
        <v>28976.15</v>
      </c>
      <c r="H553" s="77">
        <v>28971.53</v>
      </c>
      <c r="I553" s="77">
        <v>28876.45</v>
      </c>
      <c r="J553" s="77">
        <v>28877.3</v>
      </c>
      <c r="K553" s="77">
        <v>28946.98</v>
      </c>
      <c r="L553" s="24">
        <f>IF((K554=""),"",MAX(C555:K555))</f>
        <v>10871.910000000003</v>
      </c>
      <c r="M553" s="30">
        <f>IF(K554="","",MIN(C555:K555))</f>
        <v>10345.890000000003</v>
      </c>
      <c r="N553" s="24">
        <f>IF((K555=""),"",AVERAGE(C555:K555))</f>
        <v>10723.460000000001</v>
      </c>
      <c r="O553" s="24">
        <f>IF((K554=""),"",STDEV(C555:K555))</f>
        <v>154.71301044188201</v>
      </c>
      <c r="P553" s="24">
        <f>IF((K554=""),"",O553/N553*100)</f>
        <v>1.4427527163982707</v>
      </c>
      <c r="Q553" s="26" t="str">
        <f>IF(K554="","",IF(P553&lt;15,IF(M553&gt;10000,IF(N553&lt;15600,"Pass","Fail"),"Fail"),"Fail"))</f>
        <v>Pass</v>
      </c>
      <c r="R553" s="118">
        <v>121</v>
      </c>
      <c r="T553" s="97">
        <v>10000</v>
      </c>
      <c r="U553" s="77">
        <v>8090</v>
      </c>
      <c r="V553" s="77">
        <v>12070</v>
      </c>
      <c r="W553" s="77">
        <v>6</v>
      </c>
    </row>
    <row r="554" spans="1:23">
      <c r="A554" s="107"/>
      <c r="B554" s="21" t="s">
        <v>135</v>
      </c>
      <c r="C554" s="77">
        <v>25367.31</v>
      </c>
      <c r="D554" s="77">
        <v>25262.73</v>
      </c>
      <c r="E554" s="77">
        <v>25365.31</v>
      </c>
      <c r="F554" s="77">
        <v>25301.52</v>
      </c>
      <c r="G554" s="77">
        <v>25527.52</v>
      </c>
      <c r="H554" s="77">
        <v>25405.119999999999</v>
      </c>
      <c r="I554" s="77">
        <v>25285.439999999999</v>
      </c>
      <c r="J554" s="77">
        <v>25254.69</v>
      </c>
      <c r="K554" s="77">
        <v>25355.16</v>
      </c>
      <c r="L554" s="99"/>
      <c r="M554" s="99"/>
      <c r="N554" s="99"/>
      <c r="O554" s="99"/>
      <c r="P554" s="99"/>
      <c r="Q554" s="100"/>
      <c r="R554" s="101"/>
      <c r="T554" s="97">
        <v>9000</v>
      </c>
      <c r="U554" s="77">
        <v>8090</v>
      </c>
      <c r="V554" s="77">
        <v>12070</v>
      </c>
    </row>
    <row r="555" spans="1:23" ht="15.75" thickBot="1">
      <c r="A555" s="108"/>
      <c r="B555" s="22" t="s">
        <v>136</v>
      </c>
      <c r="C555" s="23">
        <f t="shared" ref="C555:K555" si="181">IF(((C553="")*AND(C554="")),"",(C553-C554)*3)</f>
        <v>10716.029999999995</v>
      </c>
      <c r="D555" s="23">
        <f t="shared" si="181"/>
        <v>10871.910000000003</v>
      </c>
      <c r="E555" s="23">
        <f t="shared" si="181"/>
        <v>10722.629999999997</v>
      </c>
      <c r="F555" s="23">
        <f t="shared" si="181"/>
        <v>10739.129999999997</v>
      </c>
      <c r="G555" s="23">
        <f t="shared" si="181"/>
        <v>10345.890000000003</v>
      </c>
      <c r="H555" s="23">
        <f t="shared" si="181"/>
        <v>10699.23</v>
      </c>
      <c r="I555" s="23">
        <f t="shared" si="181"/>
        <v>10773.030000000006</v>
      </c>
      <c r="J555" s="23">
        <f t="shared" si="181"/>
        <v>10867.830000000002</v>
      </c>
      <c r="K555" s="23">
        <f t="shared" si="181"/>
        <v>10775.46</v>
      </c>
      <c r="L555" s="103"/>
      <c r="M555" s="103"/>
      <c r="N555" s="103"/>
      <c r="O555" s="103"/>
      <c r="P555" s="103"/>
      <c r="Q555" s="104"/>
      <c r="R555" s="105"/>
    </row>
    <row r="556" spans="1:23">
      <c r="A556" s="110">
        <v>43301</v>
      </c>
      <c r="B556" s="21" t="s">
        <v>133</v>
      </c>
      <c r="C556" s="77">
        <v>28946.400000000001</v>
      </c>
      <c r="D556" s="77">
        <v>28846.639999999999</v>
      </c>
      <c r="E556" s="77">
        <v>28840.83</v>
      </c>
      <c r="F556" s="77">
        <v>28834.22</v>
      </c>
      <c r="G556" s="77">
        <v>28930.71</v>
      </c>
      <c r="H556" s="77">
        <v>28907.599999999999</v>
      </c>
      <c r="I556" s="77">
        <v>28834.19</v>
      </c>
      <c r="J556" s="77">
        <v>28827.91</v>
      </c>
      <c r="K556" s="77">
        <v>28947.37</v>
      </c>
      <c r="L556" s="24">
        <f>IF((K557=""),"",MAX(C558:K558))</f>
        <v>10017.449999999993</v>
      </c>
      <c r="M556" s="30">
        <f>IF(K557="","",MIN(C558:K558))</f>
        <v>9523.4099999999926</v>
      </c>
      <c r="N556" s="24">
        <f>IF((K558=""),"",AVERAGE(C558:K558))</f>
        <v>9874.2899999999991</v>
      </c>
      <c r="O556" s="24">
        <f>IF((K557=""),"",STDEV(C558:K558))</f>
        <v>143.93122107462108</v>
      </c>
      <c r="P556" s="24">
        <f>IF((K557=""),"",O556/N556*100)</f>
        <v>1.4576361548488155</v>
      </c>
      <c r="Q556" s="26" t="str">
        <f>IF(K557="","",IF(P556&lt;15,IF(M556&gt;10000,IF(N556&lt;15600,"Pass","Fail"),"Fail"),"Fail"))</f>
        <v>Fail</v>
      </c>
      <c r="R556" s="118"/>
      <c r="T556" s="97">
        <v>10000</v>
      </c>
      <c r="U556" s="77">
        <v>8090</v>
      </c>
      <c r="V556" s="77">
        <v>12070</v>
      </c>
      <c r="W556" s="77">
        <v>6</v>
      </c>
    </row>
    <row r="557" spans="1:23">
      <c r="A557" s="107"/>
      <c r="B557" s="21" t="s">
        <v>135</v>
      </c>
      <c r="C557" s="77">
        <v>25629.54</v>
      </c>
      <c r="D557" s="77">
        <v>25507.49</v>
      </c>
      <c r="E557" s="77">
        <v>25560.02</v>
      </c>
      <c r="F557" s="77">
        <v>25556.44</v>
      </c>
      <c r="G557" s="77">
        <v>25756.240000000002</v>
      </c>
      <c r="H557" s="77">
        <v>25594.66</v>
      </c>
      <c r="I557" s="77">
        <v>25514.18</v>
      </c>
      <c r="J557" s="77">
        <v>25521.55</v>
      </c>
      <c r="K557" s="77">
        <v>25652.880000000001</v>
      </c>
      <c r="L557" s="99"/>
      <c r="M557" s="99"/>
      <c r="N557" s="99"/>
      <c r="O557" s="99"/>
      <c r="P557" s="99"/>
      <c r="Q557" s="100"/>
      <c r="R557" s="101"/>
      <c r="T557" s="97">
        <v>9000</v>
      </c>
      <c r="U557" s="77">
        <v>8090</v>
      </c>
      <c r="V557" s="77">
        <v>12070</v>
      </c>
    </row>
    <row r="558" spans="1:23" ht="15.75" thickBot="1">
      <c r="A558" s="108"/>
      <c r="B558" s="22" t="s">
        <v>136</v>
      </c>
      <c r="C558" s="23">
        <f t="shared" ref="C558:K558" si="182">IF(((C556="")*AND(C557="")),"",(C556-C557)*3)</f>
        <v>9950.5800000000017</v>
      </c>
      <c r="D558" s="23">
        <f t="shared" si="182"/>
        <v>10017.449999999993</v>
      </c>
      <c r="E558" s="23">
        <f t="shared" si="182"/>
        <v>9842.4300000000039</v>
      </c>
      <c r="F558" s="23">
        <f t="shared" si="182"/>
        <v>9833.3400000000074</v>
      </c>
      <c r="G558" s="23">
        <f t="shared" si="182"/>
        <v>9523.4099999999926</v>
      </c>
      <c r="H558" s="23">
        <f t="shared" si="182"/>
        <v>9938.8199999999961</v>
      </c>
      <c r="I558" s="23">
        <f t="shared" si="182"/>
        <v>9960.0299999999952</v>
      </c>
      <c r="J558" s="23">
        <f t="shared" si="182"/>
        <v>9919.0800000000017</v>
      </c>
      <c r="K558" s="23">
        <f t="shared" si="182"/>
        <v>9883.4699999999939</v>
      </c>
      <c r="L558" s="103"/>
      <c r="M558" s="103"/>
      <c r="N558" s="103"/>
      <c r="O558" s="103"/>
      <c r="P558" s="103"/>
      <c r="Q558" s="104"/>
      <c r="R558" s="105"/>
    </row>
    <row r="559" spans="1:23">
      <c r="A559" s="110">
        <v>43301</v>
      </c>
      <c r="B559" s="21" t="s">
        <v>133</v>
      </c>
      <c r="C559" s="77">
        <v>28934.15</v>
      </c>
      <c r="D559" s="77">
        <v>28841.24</v>
      </c>
      <c r="E559" s="77">
        <v>28834.65</v>
      </c>
      <c r="F559" s="77">
        <v>28826.78</v>
      </c>
      <c r="G559" s="77">
        <v>28918.63</v>
      </c>
      <c r="H559" s="77">
        <v>28918.85</v>
      </c>
      <c r="I559" s="77">
        <v>28822.560000000001</v>
      </c>
      <c r="J559" s="77">
        <v>28827.45</v>
      </c>
      <c r="K559" s="77">
        <v>28934.240000000002</v>
      </c>
      <c r="L559" s="24">
        <f>IF((K560=""),"",MAX(C561:K561))</f>
        <v>11256.450000000004</v>
      </c>
      <c r="M559" s="30">
        <f>IF(K560="","",MIN(C561:K561))</f>
        <v>10737.780000000006</v>
      </c>
      <c r="N559" s="24">
        <f>IF((K561=""),"",AVERAGE(C561:K561))</f>
        <v>11092.16666666667</v>
      </c>
      <c r="O559" s="24">
        <f>IF((K560=""),"",STDEV(C561:K561))</f>
        <v>163.32610875163115</v>
      </c>
      <c r="P559" s="24">
        <f>IF((K560=""),"",O559/N559*100)</f>
        <v>1.4724454983393487</v>
      </c>
      <c r="Q559" s="26" t="str">
        <f>IF(K560="","",IF(P559&lt;15,IF(M559&gt;10000,IF(N559&lt;15600,"Pass","Fail"),"Fail"),"Fail"))</f>
        <v>Pass</v>
      </c>
      <c r="R559" s="118"/>
      <c r="T559" s="97">
        <v>10000</v>
      </c>
      <c r="U559" s="77">
        <v>8090</v>
      </c>
      <c r="V559" s="77">
        <v>12070</v>
      </c>
      <c r="W559" s="77">
        <v>6</v>
      </c>
    </row>
    <row r="560" spans="1:23">
      <c r="A560" s="107"/>
      <c r="B560" s="21" t="s">
        <v>135</v>
      </c>
      <c r="C560" s="77">
        <v>25220.44</v>
      </c>
      <c r="D560" s="77">
        <v>25089.09</v>
      </c>
      <c r="E560" s="77">
        <v>25153.77</v>
      </c>
      <c r="F560" s="77">
        <v>25121.73</v>
      </c>
      <c r="G560" s="77">
        <v>25339.37</v>
      </c>
      <c r="H560" s="77">
        <v>25180.23</v>
      </c>
      <c r="I560" s="77">
        <v>25082</v>
      </c>
      <c r="J560" s="77">
        <v>25111.22</v>
      </c>
      <c r="K560" s="77">
        <v>25284.2</v>
      </c>
      <c r="L560" s="99"/>
      <c r="M560" s="99"/>
      <c r="N560" s="99"/>
      <c r="O560" s="99"/>
      <c r="P560" s="99"/>
      <c r="Q560" s="100"/>
      <c r="R560" s="101"/>
      <c r="T560" s="97">
        <v>9000</v>
      </c>
      <c r="U560" s="77">
        <v>8090</v>
      </c>
      <c r="V560" s="77">
        <v>12070</v>
      </c>
    </row>
    <row r="561" spans="1:23" ht="15.75" thickBot="1">
      <c r="A561" s="108"/>
      <c r="B561" s="22" t="s">
        <v>136</v>
      </c>
      <c r="C561" s="23">
        <f t="shared" ref="C561:K561" si="183">IF(((C559="")*AND(C560="")),"",(C559-C560)*3)</f>
        <v>11141.130000000008</v>
      </c>
      <c r="D561" s="23">
        <f t="shared" si="183"/>
        <v>11256.450000000004</v>
      </c>
      <c r="E561" s="23">
        <f t="shared" si="183"/>
        <v>11042.640000000003</v>
      </c>
      <c r="F561" s="23">
        <f t="shared" si="183"/>
        <v>11115.149999999998</v>
      </c>
      <c r="G561" s="23">
        <f t="shared" si="183"/>
        <v>10737.780000000006</v>
      </c>
      <c r="H561" s="23">
        <f t="shared" si="183"/>
        <v>11215.859999999997</v>
      </c>
      <c r="I561" s="23">
        <f t="shared" si="183"/>
        <v>11221.680000000004</v>
      </c>
      <c r="J561" s="23">
        <f t="shared" si="183"/>
        <v>11148.689999999999</v>
      </c>
      <c r="K561" s="23">
        <f t="shared" si="183"/>
        <v>10950.120000000003</v>
      </c>
      <c r="L561" s="103"/>
      <c r="M561" s="103"/>
      <c r="N561" s="103"/>
      <c r="O561" s="103"/>
      <c r="P561" s="103"/>
      <c r="Q561" s="104"/>
      <c r="R561" s="105"/>
    </row>
    <row r="562" spans="1:23">
      <c r="A562" s="110">
        <v>43304</v>
      </c>
      <c r="B562" s="21" t="s">
        <v>133</v>
      </c>
      <c r="C562" s="77">
        <v>28076.35</v>
      </c>
      <c r="D562" s="77">
        <v>28054.05</v>
      </c>
      <c r="E562" s="77">
        <v>28105.05</v>
      </c>
      <c r="F562" s="77">
        <v>28019.03</v>
      </c>
      <c r="G562" s="77">
        <v>27943.49</v>
      </c>
      <c r="H562" s="77">
        <v>27982.16</v>
      </c>
      <c r="I562" s="77">
        <v>28014.18</v>
      </c>
      <c r="J562" s="77">
        <v>28040.84</v>
      </c>
      <c r="K562" s="77">
        <v>27996.7</v>
      </c>
      <c r="L562" s="24">
        <f>IF((K563=""),"",MAX(C564:K564))</f>
        <v>13550.759999999995</v>
      </c>
      <c r="M562" s="30">
        <f>IF(K563="","",MIN(C564:K564))</f>
        <v>8886.3900000000031</v>
      </c>
      <c r="N562" s="24">
        <f>IF((K564=""),"",AVERAGE(C564:K564))</f>
        <v>10843.13333333333</v>
      </c>
      <c r="O562" s="24">
        <f>IF((K563=""),"",STDEV(C564:K564))</f>
        <v>1453.4762024195734</v>
      </c>
      <c r="P562" s="24">
        <f>IF((K563=""),"",O562/N562*100)</f>
        <v>13.40457741999152</v>
      </c>
      <c r="Q562" s="26" t="str">
        <f>IF(K563="","",IF(P562&lt;15,IF(M562&gt;10000,IF(N562&lt;15600,"Pass","Fail"),"Fail"),"Fail"))</f>
        <v>Fail</v>
      </c>
      <c r="R562" s="118">
        <v>1340</v>
      </c>
      <c r="T562" s="97">
        <v>10000</v>
      </c>
      <c r="U562" s="77">
        <v>8090</v>
      </c>
      <c r="V562" s="77">
        <v>12070</v>
      </c>
      <c r="W562" s="77">
        <v>6</v>
      </c>
    </row>
    <row r="563" spans="1:23">
      <c r="A563" s="107"/>
      <c r="B563" s="21" t="s">
        <v>135</v>
      </c>
      <c r="C563" s="77">
        <v>24866.54</v>
      </c>
      <c r="D563" s="77">
        <v>24494.77</v>
      </c>
      <c r="E563" s="77">
        <v>23588.13</v>
      </c>
      <c r="F563" s="77">
        <v>23894.5</v>
      </c>
      <c r="G563" s="77">
        <v>24981.360000000001</v>
      </c>
      <c r="H563" s="77">
        <v>24645.08</v>
      </c>
      <c r="I563" s="77">
        <v>24702.6</v>
      </c>
      <c r="J563" s="77">
        <v>24327.4</v>
      </c>
      <c r="K563" s="77">
        <v>24202.07</v>
      </c>
      <c r="L563" s="99"/>
      <c r="M563" s="99"/>
      <c r="N563" s="99"/>
      <c r="O563" s="99"/>
      <c r="P563" s="99"/>
      <c r="Q563" s="100"/>
      <c r="R563" s="101"/>
      <c r="T563" s="97">
        <v>9000</v>
      </c>
      <c r="U563" s="77">
        <v>8090</v>
      </c>
      <c r="V563" s="77">
        <v>12070</v>
      </c>
    </row>
    <row r="564" spans="1:23" ht="15.75" thickBot="1">
      <c r="A564" s="108"/>
      <c r="B564" s="22" t="s">
        <v>136</v>
      </c>
      <c r="C564" s="23">
        <f>IF(((C562="")*AND(C563="")),"",(C562-C563)*3)</f>
        <v>9629.429999999993</v>
      </c>
      <c r="D564" s="23">
        <f t="shared" ref="D564:K564" si="184">IF(((D562="")*AND(D563="")),"",(D562-D563)*3)</f>
        <v>10677.839999999997</v>
      </c>
      <c r="E564" s="23">
        <f t="shared" si="184"/>
        <v>13550.759999999995</v>
      </c>
      <c r="F564" s="23">
        <f t="shared" si="184"/>
        <v>12373.589999999997</v>
      </c>
      <c r="G564" s="23">
        <f t="shared" si="184"/>
        <v>8886.3900000000031</v>
      </c>
      <c r="H564" s="23">
        <f t="shared" si="184"/>
        <v>10011.239999999994</v>
      </c>
      <c r="I564" s="23">
        <f t="shared" si="184"/>
        <v>9934.7400000000052</v>
      </c>
      <c r="J564" s="23">
        <f t="shared" si="184"/>
        <v>11140.319999999996</v>
      </c>
      <c r="K564" s="23">
        <f t="shared" si="184"/>
        <v>11383.890000000003</v>
      </c>
      <c r="L564" s="103"/>
      <c r="M564" s="103"/>
      <c r="N564" s="103"/>
      <c r="O564" s="103"/>
      <c r="P564" s="103"/>
      <c r="Q564" s="104"/>
      <c r="R564" s="105"/>
    </row>
    <row r="565" spans="1:23">
      <c r="A565" s="110">
        <v>43304</v>
      </c>
      <c r="B565" s="21" t="s">
        <v>133</v>
      </c>
      <c r="C565" s="77">
        <v>28930.13</v>
      </c>
      <c r="D565" s="77">
        <v>28843.32</v>
      </c>
      <c r="E565" s="77">
        <v>28903.47</v>
      </c>
      <c r="F565" s="77">
        <v>28852.12</v>
      </c>
      <c r="G565" s="77">
        <v>28892.2</v>
      </c>
      <c r="H565" s="77">
        <v>28920.31</v>
      </c>
      <c r="I565" s="77">
        <v>28847.19</v>
      </c>
      <c r="J565" s="77">
        <v>28842.19</v>
      </c>
      <c r="K565" s="77">
        <v>28892.94</v>
      </c>
      <c r="L565" s="24">
        <f>IF((K566=""),"",MAX(C567:K567))</f>
        <v>10907.129999999997</v>
      </c>
      <c r="M565" s="30">
        <f>IF(K566="","",MIN(C567:K567))</f>
        <v>10596.870000000003</v>
      </c>
      <c r="N565" s="24">
        <f>IF((K567=""),"",AVERAGE(C567:K567))</f>
        <v>10793.33</v>
      </c>
      <c r="O565" s="24">
        <f>IF((K566=""),"",STDEV(C567:K567))</f>
        <v>102.90278895641327</v>
      </c>
      <c r="P565" s="24">
        <f>IF((K566=""),"",O565/N565*100)</f>
        <v>0.9533924095382359</v>
      </c>
      <c r="Q565" s="26" t="str">
        <f>IF(K566="","",IF(P565&lt;15,IF(M565&gt;10000,IF(N565&lt;15600,"Pass","Fail"),"Fail"),"Fail"))</f>
        <v>Pass</v>
      </c>
      <c r="R565" s="118">
        <v>1159</v>
      </c>
      <c r="S565" s="77" t="s">
        <v>247</v>
      </c>
      <c r="T565" s="97">
        <v>10000</v>
      </c>
      <c r="U565" s="77">
        <v>8090</v>
      </c>
      <c r="V565" s="77">
        <v>12070</v>
      </c>
      <c r="W565" s="77">
        <v>6</v>
      </c>
    </row>
    <row r="566" spans="1:23">
      <c r="A566" s="107"/>
      <c r="B566" s="21" t="s">
        <v>135</v>
      </c>
      <c r="C566" s="77">
        <v>25397.84</v>
      </c>
      <c r="D566" s="77">
        <v>25263</v>
      </c>
      <c r="E566" s="77">
        <v>25346.66</v>
      </c>
      <c r="F566" s="77">
        <v>25232.55</v>
      </c>
      <c r="G566" s="77">
        <v>25287.67</v>
      </c>
      <c r="H566" s="77">
        <v>25298.43</v>
      </c>
      <c r="I566" s="77">
        <v>25237.5</v>
      </c>
      <c r="J566" s="77">
        <v>25223</v>
      </c>
      <c r="K566" s="77">
        <v>25257.23</v>
      </c>
      <c r="L566" s="99"/>
      <c r="M566" s="99"/>
      <c r="N566" s="99"/>
      <c r="O566" s="99"/>
      <c r="P566" s="99"/>
      <c r="Q566" s="100"/>
      <c r="R566" s="101"/>
      <c r="T566" s="97">
        <v>9000</v>
      </c>
      <c r="U566" s="77">
        <v>8090</v>
      </c>
      <c r="V566" s="77">
        <v>12070</v>
      </c>
    </row>
    <row r="567" spans="1:23" ht="15.75" thickBot="1">
      <c r="A567" s="108"/>
      <c r="B567" s="22" t="s">
        <v>136</v>
      </c>
      <c r="C567" s="23">
        <f t="shared" ref="C567:K567" si="185">IF(((C565="")*AND(C566="")),"",(C565-C566)*3)</f>
        <v>10596.870000000003</v>
      </c>
      <c r="D567" s="23">
        <f t="shared" si="185"/>
        <v>10740.96</v>
      </c>
      <c r="E567" s="23">
        <f t="shared" si="185"/>
        <v>10670.430000000004</v>
      </c>
      <c r="F567" s="23">
        <f t="shared" si="185"/>
        <v>10858.71</v>
      </c>
      <c r="G567" s="23">
        <f t="shared" si="185"/>
        <v>10813.590000000007</v>
      </c>
      <c r="H567" s="23">
        <f t="shared" si="185"/>
        <v>10865.640000000003</v>
      </c>
      <c r="I567" s="23">
        <f t="shared" si="185"/>
        <v>10829.069999999996</v>
      </c>
      <c r="J567" s="23">
        <f t="shared" si="185"/>
        <v>10857.569999999996</v>
      </c>
      <c r="K567" s="23">
        <f t="shared" si="185"/>
        <v>10907.129999999997</v>
      </c>
      <c r="L567" s="103"/>
      <c r="M567" s="103"/>
      <c r="N567" s="103"/>
      <c r="O567" s="103"/>
      <c r="P567" s="103"/>
      <c r="Q567" s="104"/>
      <c r="R567" s="105"/>
    </row>
    <row r="568" spans="1:23">
      <c r="A568" s="110">
        <v>43308</v>
      </c>
      <c r="B568" s="21" t="s">
        <v>133</v>
      </c>
      <c r="C568" s="77">
        <v>29289.61</v>
      </c>
      <c r="D568" s="77">
        <v>29208.75</v>
      </c>
      <c r="E568" s="77">
        <v>29223.34</v>
      </c>
      <c r="F568" s="77">
        <v>29214.07</v>
      </c>
      <c r="G568" s="77">
        <v>29297.94</v>
      </c>
      <c r="H568" s="77">
        <v>29253.86</v>
      </c>
      <c r="I568" s="77">
        <v>29210.18</v>
      </c>
      <c r="J568" s="77">
        <v>29214.67</v>
      </c>
      <c r="K568" s="77">
        <v>29310.42</v>
      </c>
      <c r="L568" s="24">
        <f>IF((K569=""),"",MAX(C570:K570))</f>
        <v>12390.149999999998</v>
      </c>
      <c r="M568" s="30">
        <f>IF(K569="","",MIN(C570:K570))</f>
        <v>11991.930000000004</v>
      </c>
      <c r="N568" s="24">
        <f>IF((K570=""),"",AVERAGE(C570:K570))</f>
        <v>12225.546666666667</v>
      </c>
      <c r="O568" s="24">
        <f>IF((K569=""),"",STDEV(C570:K570))</f>
        <v>128.86704262537125</v>
      </c>
      <c r="P568" s="24">
        <f>IF((K569=""),"",O568/N568*100)</f>
        <v>1.0540800026286861</v>
      </c>
      <c r="Q568" s="26" t="str">
        <f>IF(K569="","",IF(P568&lt;15,IF(M568&gt;10000,IF(N568&lt;15600,"Pass","Fail"),"Fail"),"Fail"))</f>
        <v>Pass</v>
      </c>
      <c r="R568" s="118">
        <v>121</v>
      </c>
      <c r="T568" s="97">
        <v>10000</v>
      </c>
      <c r="U568" s="77">
        <v>8090</v>
      </c>
      <c r="V568" s="77">
        <v>12070</v>
      </c>
      <c r="W568" s="77">
        <v>6</v>
      </c>
    </row>
    <row r="569" spans="1:23">
      <c r="A569" s="107"/>
      <c r="B569" s="21" t="s">
        <v>135</v>
      </c>
      <c r="C569" s="77">
        <v>25292.3</v>
      </c>
      <c r="D569" s="77">
        <v>25128.9</v>
      </c>
      <c r="E569" s="77">
        <v>25167.23</v>
      </c>
      <c r="F569" s="77">
        <v>25102</v>
      </c>
      <c r="G569" s="77">
        <v>25227.05</v>
      </c>
      <c r="H569" s="77">
        <v>25225.7</v>
      </c>
      <c r="I569" s="77">
        <v>25122.639999999999</v>
      </c>
      <c r="J569" s="77">
        <v>25100.01</v>
      </c>
      <c r="K569" s="77">
        <v>25180.37</v>
      </c>
      <c r="L569" s="99"/>
      <c r="M569" s="99"/>
      <c r="N569" s="99"/>
      <c r="O569" s="99"/>
      <c r="P569" s="99"/>
      <c r="Q569" s="100"/>
      <c r="R569" s="101"/>
      <c r="T569" s="97">
        <v>9000</v>
      </c>
      <c r="U569" s="77">
        <v>8090</v>
      </c>
      <c r="V569" s="77">
        <v>12070</v>
      </c>
    </row>
    <row r="570" spans="1:23" ht="15.75" thickBot="1">
      <c r="A570" s="108"/>
      <c r="B570" s="22" t="s">
        <v>136</v>
      </c>
      <c r="C570" s="23">
        <f t="shared" ref="C570:K570" si="186">IF(((C568="")*AND(C569="")),"",(C568-C569)*3)</f>
        <v>11991.930000000004</v>
      </c>
      <c r="D570" s="23">
        <f t="shared" si="186"/>
        <v>12239.549999999996</v>
      </c>
      <c r="E570" s="23">
        <f t="shared" si="186"/>
        <v>12168.330000000002</v>
      </c>
      <c r="F570" s="23">
        <f t="shared" si="186"/>
        <v>12336.21</v>
      </c>
      <c r="G570" s="23">
        <f t="shared" si="186"/>
        <v>12212.669999999998</v>
      </c>
      <c r="H570" s="23">
        <f t="shared" si="186"/>
        <v>12084.48</v>
      </c>
      <c r="I570" s="23">
        <f t="shared" si="186"/>
        <v>12262.620000000003</v>
      </c>
      <c r="J570" s="23">
        <f t="shared" si="186"/>
        <v>12343.98</v>
      </c>
      <c r="K570" s="23">
        <f t="shared" si="186"/>
        <v>12390.149999999998</v>
      </c>
      <c r="L570" s="103"/>
      <c r="M570" s="103"/>
      <c r="N570" s="103"/>
      <c r="O570" s="103"/>
      <c r="P570" s="103"/>
      <c r="Q570" s="104"/>
      <c r="R570" s="105"/>
    </row>
    <row r="571" spans="1:23">
      <c r="A571" s="110">
        <v>43312</v>
      </c>
      <c r="B571" s="21" t="s">
        <v>133</v>
      </c>
      <c r="C571" s="77">
        <v>29264.79</v>
      </c>
      <c r="D571" s="77">
        <v>29181.72</v>
      </c>
      <c r="E571" s="77">
        <v>29218.89</v>
      </c>
      <c r="F571" s="77">
        <v>29160.89</v>
      </c>
      <c r="G571" s="77">
        <v>29226.16</v>
      </c>
      <c r="H571" s="77">
        <v>29221.48</v>
      </c>
      <c r="I571" s="77">
        <v>29169.41</v>
      </c>
      <c r="J571" s="77">
        <v>29168.17</v>
      </c>
      <c r="K571" s="77">
        <v>29243.13</v>
      </c>
      <c r="L571" s="24">
        <f>IF((K572=""),"",MAX(C573:K573))</f>
        <v>11483.310000000001</v>
      </c>
      <c r="M571" s="30">
        <f>IF(K572="","",MIN(C573:K573))</f>
        <v>11064.120000000003</v>
      </c>
      <c r="N571" s="24">
        <f>IF((K573=""),"",AVERAGE(C573:K573))</f>
        <v>11376.371249999998</v>
      </c>
      <c r="O571" s="24">
        <f>IF((K572=""),"",STDEV(C573:K573))</f>
        <v>134.01646385406227</v>
      </c>
      <c r="P571" s="24">
        <f>IF((K572=""),"",O571/N571*100)</f>
        <v>1.1780247049696297</v>
      </c>
      <c r="Q571" s="26" t="str">
        <f>IF(K572="","",IF(P571&lt;15,IF(M571&gt;10000,IF(N571&lt;15600,"Pass","Fail"),"Fail"),"Fail"))</f>
        <v>Pass</v>
      </c>
      <c r="R571" s="118">
        <v>1428</v>
      </c>
      <c r="S571" s="92" t="s">
        <v>248</v>
      </c>
      <c r="T571" s="97">
        <v>10000</v>
      </c>
      <c r="U571" s="77">
        <v>8090</v>
      </c>
      <c r="V571" s="77">
        <v>12070</v>
      </c>
      <c r="W571" s="77">
        <v>6</v>
      </c>
    </row>
    <row r="572" spans="1:23">
      <c r="A572" s="107"/>
      <c r="B572" s="21" t="s">
        <v>135</v>
      </c>
      <c r="C572" s="77">
        <v>25469.53</v>
      </c>
      <c r="D572" s="77">
        <v>25353.95</v>
      </c>
      <c r="E572" s="77">
        <v>25422.55</v>
      </c>
      <c r="F572" s="77">
        <v>25383.37</v>
      </c>
      <c r="G572" s="77">
        <v>25538.12</v>
      </c>
      <c r="H572" s="77">
        <v>25402.95</v>
      </c>
      <c r="I572" s="77">
        <v>25356.240000000002</v>
      </c>
      <c r="J572" s="77">
        <v>25359.43</v>
      </c>
      <c r="K572" s="77">
        <v>25436.25</v>
      </c>
      <c r="L572" s="99">
        <v>1</v>
      </c>
      <c r="M572" s="99"/>
      <c r="N572" s="99"/>
      <c r="O572" s="99"/>
      <c r="P572" s="99"/>
      <c r="Q572" s="100"/>
      <c r="R572" s="101"/>
      <c r="T572" s="97">
        <v>9000</v>
      </c>
      <c r="U572" s="77">
        <v>8090</v>
      </c>
      <c r="V572" s="77">
        <v>12070</v>
      </c>
    </row>
    <row r="573" spans="1:23" ht="15.75" thickBot="1">
      <c r="A573" s="108"/>
      <c r="B573" s="22" t="s">
        <v>136</v>
      </c>
      <c r="C573" s="23"/>
      <c r="D573" s="23">
        <f t="shared" ref="D573:K573" si="187">IF(((D571="")*AND(D572="")),"",(D571-D572)*3)</f>
        <v>11483.310000000001</v>
      </c>
      <c r="E573" s="23">
        <f t="shared" si="187"/>
        <v>11389.02</v>
      </c>
      <c r="F573" s="23">
        <f t="shared" si="187"/>
        <v>11332.560000000001</v>
      </c>
      <c r="G573" s="23">
        <f t="shared" si="187"/>
        <v>11064.120000000003</v>
      </c>
      <c r="H573" s="23">
        <f t="shared" si="187"/>
        <v>11455.589999999997</v>
      </c>
      <c r="I573" s="23">
        <f t="shared" si="187"/>
        <v>11439.509999999995</v>
      </c>
      <c r="J573" s="23">
        <f t="shared" si="187"/>
        <v>11426.219999999994</v>
      </c>
      <c r="K573" s="23">
        <f t="shared" si="187"/>
        <v>11420.640000000003</v>
      </c>
      <c r="L573" s="103"/>
      <c r="M573" s="103"/>
      <c r="N573" s="103"/>
      <c r="O573" s="103"/>
      <c r="P573" s="103"/>
      <c r="Q573" s="104"/>
      <c r="R573" s="105"/>
    </row>
    <row r="574" spans="1:23">
      <c r="A574" s="110">
        <v>43317</v>
      </c>
      <c r="B574" s="21" t="s">
        <v>133</v>
      </c>
      <c r="C574" s="77">
        <v>28862.06</v>
      </c>
      <c r="D574" s="77">
        <v>28803.05</v>
      </c>
      <c r="E574" s="77">
        <v>28863.72</v>
      </c>
      <c r="F574" s="77">
        <v>28796.87</v>
      </c>
      <c r="G574" s="77">
        <v>28872.9</v>
      </c>
      <c r="H574" s="77">
        <v>28864.81</v>
      </c>
      <c r="I574" s="77">
        <v>28790.11</v>
      </c>
      <c r="J574" s="77">
        <v>28799.21</v>
      </c>
      <c r="K574" s="77">
        <v>28838.22</v>
      </c>
      <c r="L574" s="24">
        <f>IF((K575=""),"",MAX(C576:K576))</f>
        <v>11647.679999999993</v>
      </c>
      <c r="M574" s="30">
        <f>IF(K575="","",MIN(C576:K576))</f>
        <v>11095.44000000001</v>
      </c>
      <c r="N574" s="24">
        <f>IF((K576=""),"",AVERAGE(C576:K576))</f>
        <v>11502.843333333334</v>
      </c>
      <c r="O574" s="24">
        <f>IF((K575=""),"",STDEV(C576:K576))</f>
        <v>168.3350421034387</v>
      </c>
      <c r="P574" s="24">
        <f>IF((K575=""),"",O574/N574*100)</f>
        <v>1.4634211492356124</v>
      </c>
      <c r="Q574" s="26" t="str">
        <f>IF(K575="","",IF(P574&lt;15,IF(M574&gt;10000,IF(N574&lt;15600,"Pass","Fail"),"Fail"),"Fail"))</f>
        <v>Pass</v>
      </c>
      <c r="R574" s="118">
        <v>1340</v>
      </c>
      <c r="T574" s="97">
        <v>10000</v>
      </c>
      <c r="U574" s="77">
        <v>8090</v>
      </c>
      <c r="V574" s="77">
        <v>12070</v>
      </c>
      <c r="W574" s="77">
        <v>6</v>
      </c>
    </row>
    <row r="575" spans="1:23">
      <c r="A575" s="107"/>
      <c r="B575" s="21" t="s">
        <v>135</v>
      </c>
      <c r="C575" s="77">
        <v>25037.83</v>
      </c>
      <c r="D575" s="77">
        <v>24926.42</v>
      </c>
      <c r="E575" s="77">
        <v>25032.31</v>
      </c>
      <c r="F575" s="77">
        <v>24978.87</v>
      </c>
      <c r="G575" s="77">
        <v>25174.42</v>
      </c>
      <c r="H575" s="77">
        <v>25005.96</v>
      </c>
      <c r="I575" s="77">
        <v>24945.13</v>
      </c>
      <c r="J575" s="77">
        <v>24916.65</v>
      </c>
      <c r="K575" s="77">
        <v>24964.83</v>
      </c>
      <c r="L575" s="99"/>
      <c r="M575" s="99"/>
      <c r="N575" s="99"/>
      <c r="O575" s="99"/>
      <c r="P575" s="99"/>
      <c r="Q575" s="100"/>
      <c r="R575" s="101"/>
      <c r="T575" s="97">
        <v>9000</v>
      </c>
      <c r="U575" s="77">
        <v>8090</v>
      </c>
      <c r="V575" s="77">
        <v>12070</v>
      </c>
    </row>
    <row r="576" spans="1:23" ht="15.75" thickBot="1">
      <c r="A576" s="108"/>
      <c r="B576" s="22" t="s">
        <v>136</v>
      </c>
      <c r="C576" s="23">
        <f t="shared" ref="C576:K576" si="188">IF(((C574="")*AND(C575="")),"",(C574-C575)*3)</f>
        <v>11472.689999999999</v>
      </c>
      <c r="D576" s="23">
        <f t="shared" si="188"/>
        <v>11629.890000000003</v>
      </c>
      <c r="E576" s="23">
        <f t="shared" si="188"/>
        <v>11494.23</v>
      </c>
      <c r="F576" s="23">
        <f t="shared" si="188"/>
        <v>11454</v>
      </c>
      <c r="G576" s="23">
        <f t="shared" si="188"/>
        <v>11095.44000000001</v>
      </c>
      <c r="H576" s="23">
        <f t="shared" si="188"/>
        <v>11576.550000000007</v>
      </c>
      <c r="I576" s="23">
        <f t="shared" si="188"/>
        <v>11534.939999999999</v>
      </c>
      <c r="J576" s="23">
        <f t="shared" si="188"/>
        <v>11647.679999999993</v>
      </c>
      <c r="K576" s="23">
        <f t="shared" si="188"/>
        <v>11620.169999999998</v>
      </c>
      <c r="L576" s="103"/>
      <c r="M576" s="103"/>
      <c r="N576" s="103"/>
      <c r="O576" s="103"/>
      <c r="P576" s="103"/>
      <c r="Q576" s="104"/>
      <c r="R576" s="105"/>
    </row>
    <row r="577" spans="1:23">
      <c r="A577" s="110">
        <v>43321</v>
      </c>
      <c r="B577" s="21" t="s">
        <v>133</v>
      </c>
      <c r="C577" s="77">
        <v>29184.48</v>
      </c>
      <c r="D577" s="77">
        <v>29134.71</v>
      </c>
      <c r="E577" s="77">
        <v>29166.54</v>
      </c>
      <c r="F577" s="77">
        <v>29133.040000000001</v>
      </c>
      <c r="G577" s="77">
        <v>29232.03</v>
      </c>
      <c r="H577" s="77">
        <v>29188.28</v>
      </c>
      <c r="I577" s="77">
        <v>29128.53</v>
      </c>
      <c r="J577" s="77">
        <v>29129.93</v>
      </c>
      <c r="K577" s="77">
        <v>29140</v>
      </c>
      <c r="L577" s="24">
        <f>IF((K578=""),"",MAX(C579:K579))</f>
        <v>11718.689999999999</v>
      </c>
      <c r="M577" s="30">
        <f>IF(K578="","",MIN(C579:K579))</f>
        <v>11526.929999999993</v>
      </c>
      <c r="N577" s="24">
        <f>IF((K579=""),"",AVERAGE(C579:K579))</f>
        <v>11637.869999999997</v>
      </c>
      <c r="O577" s="24">
        <f>IF((K578=""),"",STDEV(C579:K579))</f>
        <v>73.287425763516964</v>
      </c>
      <c r="P577" s="24">
        <f>IF((K578=""),"",O577/N577*100)</f>
        <v>0.62973229434180811</v>
      </c>
      <c r="Q577" s="26" t="str">
        <f>IF(K578="","",IF(P577&lt;15,IF(M577&gt;10000,IF(N577&lt;15600,"Pass","Fail"),"Fail"),"Fail"))</f>
        <v>Pass</v>
      </c>
      <c r="R577" s="118"/>
      <c r="T577" s="97">
        <v>10000</v>
      </c>
      <c r="U577" s="77">
        <v>8090</v>
      </c>
      <c r="V577" s="77">
        <v>12070</v>
      </c>
      <c r="W577" s="77">
        <v>6</v>
      </c>
    </row>
    <row r="578" spans="1:23">
      <c r="A578" s="107"/>
      <c r="B578" s="21" t="s">
        <v>135</v>
      </c>
      <c r="C578" s="77">
        <v>25299.86</v>
      </c>
      <c r="D578" s="77">
        <v>25231.5</v>
      </c>
      <c r="E578" s="77">
        <v>25315.68</v>
      </c>
      <c r="F578" s="77">
        <v>25260.9</v>
      </c>
      <c r="G578" s="77">
        <v>25389.72</v>
      </c>
      <c r="H578" s="77">
        <v>25286.9</v>
      </c>
      <c r="I578" s="77">
        <v>25222.3</v>
      </c>
      <c r="J578" s="77">
        <v>25234.57</v>
      </c>
      <c r="K578" s="77">
        <v>25282.5</v>
      </c>
      <c r="L578" s="99"/>
      <c r="M578" s="99"/>
      <c r="N578" s="99"/>
      <c r="O578" s="99"/>
      <c r="P578" s="99"/>
      <c r="Q578" s="100"/>
      <c r="R578" s="101"/>
      <c r="T578" s="97">
        <v>9000</v>
      </c>
      <c r="U578" s="77">
        <v>8090</v>
      </c>
      <c r="V578" s="77">
        <v>12070</v>
      </c>
    </row>
    <row r="579" spans="1:23" ht="15.75" thickBot="1">
      <c r="A579" s="108"/>
      <c r="B579" s="22" t="s">
        <v>136</v>
      </c>
      <c r="C579" s="23">
        <f t="shared" ref="C579:K579" si="189">IF(((C577="")*AND(C578="")),"",(C577-C578)*3)</f>
        <v>11653.859999999997</v>
      </c>
      <c r="D579" s="23">
        <f t="shared" si="189"/>
        <v>11709.629999999997</v>
      </c>
      <c r="E579" s="23">
        <f t="shared" si="189"/>
        <v>11552.580000000002</v>
      </c>
      <c r="F579" s="23">
        <f t="shared" si="189"/>
        <v>11616.419999999998</v>
      </c>
      <c r="G579" s="23">
        <f t="shared" si="189"/>
        <v>11526.929999999993</v>
      </c>
      <c r="H579" s="23">
        <f t="shared" si="189"/>
        <v>11704.139999999992</v>
      </c>
      <c r="I579" s="23">
        <f t="shared" si="189"/>
        <v>11718.689999999999</v>
      </c>
      <c r="J579" s="23">
        <f t="shared" si="189"/>
        <v>11686.080000000002</v>
      </c>
      <c r="K579" s="23">
        <f t="shared" si="189"/>
        <v>11572.5</v>
      </c>
      <c r="L579" s="103"/>
      <c r="M579" s="103"/>
      <c r="N579" s="103"/>
      <c r="O579" s="103"/>
      <c r="P579" s="103"/>
      <c r="Q579" s="104"/>
      <c r="R579" s="105"/>
    </row>
    <row r="580" spans="1:23">
      <c r="A580" s="110">
        <v>43326</v>
      </c>
      <c r="B580" s="21" t="s">
        <v>133</v>
      </c>
      <c r="C580" s="77">
        <v>29108.46</v>
      </c>
      <c r="D580" s="77">
        <v>29045.02</v>
      </c>
      <c r="E580" s="77">
        <v>29080.97</v>
      </c>
      <c r="F580" s="77">
        <v>29035.87</v>
      </c>
      <c r="G580" s="77">
        <v>29093.93</v>
      </c>
      <c r="H580" s="77">
        <v>29091.29</v>
      </c>
      <c r="I580" s="77">
        <v>29033.360000000001</v>
      </c>
      <c r="J580" s="77">
        <v>29054.639999999999</v>
      </c>
      <c r="K580" s="77">
        <v>29130.14</v>
      </c>
      <c r="L580" s="24">
        <f>IF((K581=""),"",MAX(C582:K582))</f>
        <v>10958.370000000003</v>
      </c>
      <c r="M580" s="30">
        <f>IF(K581="","",MIN(C582:K582))</f>
        <v>10612.649999999998</v>
      </c>
      <c r="N580" s="24">
        <f>IF((K582=""),"",AVERAGE(C582:K582))</f>
        <v>10863.356666666668</v>
      </c>
      <c r="O580" s="24">
        <f>IF((K581=""),"",STDEV(C582:K582))</f>
        <v>111.78507782799744</v>
      </c>
      <c r="P580" s="24">
        <f>IF((K581=""),"",O580/N580*100)</f>
        <v>1.0290104730796599</v>
      </c>
      <c r="Q580" s="26" t="str">
        <f>IF(K581="","",IF(P580&lt;15,IF(M580&gt;10000,IF(N580&lt;15600,"Pass","Fail"),"Fail"),"Fail"))</f>
        <v>Pass</v>
      </c>
      <c r="R580" s="118">
        <v>1159</v>
      </c>
      <c r="S580" s="77" t="s">
        <v>249</v>
      </c>
      <c r="T580" s="97">
        <v>10000</v>
      </c>
      <c r="U580" s="77">
        <v>8090</v>
      </c>
      <c r="V580" s="77">
        <v>12070</v>
      </c>
      <c r="W580" s="77">
        <v>6</v>
      </c>
    </row>
    <row r="581" spans="1:23">
      <c r="A581" s="107"/>
      <c r="B581" s="21" t="s">
        <v>135</v>
      </c>
      <c r="C581" s="77">
        <v>25570.91</v>
      </c>
      <c r="D581" s="77">
        <v>25429.16</v>
      </c>
      <c r="E581" s="77">
        <v>25488.54</v>
      </c>
      <c r="F581" s="77">
        <v>25403.71</v>
      </c>
      <c r="G581" s="77">
        <v>25474.959999999999</v>
      </c>
      <c r="H581" s="77">
        <v>25439.599999999999</v>
      </c>
      <c r="I581" s="77">
        <v>25397.21</v>
      </c>
      <c r="J581" s="77">
        <v>25401.85</v>
      </c>
      <c r="K581" s="77">
        <v>25477.67</v>
      </c>
      <c r="L581" s="99"/>
      <c r="M581" s="99"/>
      <c r="N581" s="99"/>
      <c r="O581" s="99"/>
      <c r="P581" s="99"/>
      <c r="Q581" s="100"/>
      <c r="R581" s="101"/>
      <c r="T581" s="97">
        <v>9000</v>
      </c>
      <c r="U581" s="77">
        <v>8090</v>
      </c>
      <c r="V581" s="77">
        <v>12070</v>
      </c>
    </row>
    <row r="582" spans="1:23" ht="15.75" thickBot="1">
      <c r="A582" s="108"/>
      <c r="B582" s="22" t="s">
        <v>136</v>
      </c>
      <c r="C582" s="23">
        <f t="shared" ref="C582:K582" si="190">IF(((C580="")*AND(C581="")),"",(C580-C581)*3)</f>
        <v>10612.649999999998</v>
      </c>
      <c r="D582" s="23">
        <f t="shared" si="190"/>
        <v>10847.580000000002</v>
      </c>
      <c r="E582" s="23">
        <f t="shared" si="190"/>
        <v>10777.29</v>
      </c>
      <c r="F582" s="23">
        <f t="shared" si="190"/>
        <v>10896.48</v>
      </c>
      <c r="G582" s="23">
        <f t="shared" si="190"/>
        <v>10856.910000000003</v>
      </c>
      <c r="H582" s="23">
        <f t="shared" si="190"/>
        <v>10955.070000000007</v>
      </c>
      <c r="I582" s="23">
        <f t="shared" si="190"/>
        <v>10908.450000000004</v>
      </c>
      <c r="J582" s="23">
        <f t="shared" si="190"/>
        <v>10958.370000000003</v>
      </c>
      <c r="K582" s="23">
        <f t="shared" si="190"/>
        <v>10957.410000000003</v>
      </c>
      <c r="L582" s="103"/>
      <c r="M582" s="103"/>
      <c r="N582" s="103"/>
      <c r="O582" s="103"/>
      <c r="P582" s="103"/>
      <c r="Q582" s="104"/>
      <c r="R582" s="105"/>
    </row>
    <row r="583" spans="1:23">
      <c r="A583" s="110">
        <v>43332</v>
      </c>
      <c r="B583" s="21" t="s">
        <v>133</v>
      </c>
      <c r="C583" s="77">
        <v>29091.68</v>
      </c>
      <c r="D583" s="77">
        <v>29031.41</v>
      </c>
      <c r="E583" s="77">
        <v>29070.080000000002</v>
      </c>
      <c r="F583" s="77">
        <v>29028.26</v>
      </c>
      <c r="G583" s="77">
        <v>29096.1</v>
      </c>
      <c r="H583" s="77">
        <v>29083.88</v>
      </c>
      <c r="I583" s="77">
        <v>29024.080000000002</v>
      </c>
      <c r="J583" s="77">
        <v>29028.71</v>
      </c>
      <c r="K583" s="77">
        <v>29079.88</v>
      </c>
      <c r="L583" s="24">
        <f>IF((K584=""),"",MAX(C585:K585))</f>
        <v>12004.529999999995</v>
      </c>
      <c r="M583" s="30">
        <f>IF(K584="","",MIN(C585:K585))</f>
        <v>11570.879999999997</v>
      </c>
      <c r="N583" s="24">
        <f>IF((K585=""),"",AVERAGE(C585:K585))</f>
        <v>11889.636666666667</v>
      </c>
      <c r="O583" s="24">
        <f>IF((K584=""),"",STDEV(C585:K585))</f>
        <v>134.29617595069035</v>
      </c>
      <c r="P583" s="24">
        <f>IF((K584=""),"",O583/N583*100)</f>
        <v>1.1295229594962981</v>
      </c>
      <c r="Q583" s="26" t="str">
        <f>IF(K584="","",IF(P583&lt;15,IF(M583&gt;10000,IF(N583&lt;15600,"Pass","Fail"),"Fail"),"Fail"))</f>
        <v>Pass</v>
      </c>
      <c r="R583" s="118">
        <v>1340</v>
      </c>
      <c r="T583" s="97">
        <v>10000</v>
      </c>
      <c r="U583" s="77">
        <v>8090</v>
      </c>
      <c r="V583" s="77">
        <v>12070</v>
      </c>
      <c r="W583" s="77">
        <v>6</v>
      </c>
    </row>
    <row r="584" spans="1:23">
      <c r="A584" s="107"/>
      <c r="B584" s="21" t="s">
        <v>135</v>
      </c>
      <c r="C584" s="77">
        <v>25141</v>
      </c>
      <c r="D584" s="77">
        <v>25029.9</v>
      </c>
      <c r="E584" s="77">
        <v>25112.98</v>
      </c>
      <c r="F584" s="77">
        <v>25062.94</v>
      </c>
      <c r="G584" s="77">
        <v>25239.14</v>
      </c>
      <c r="H584" s="77">
        <v>25093.53</v>
      </c>
      <c r="I584" s="77">
        <v>25027.05</v>
      </c>
      <c r="J584" s="77">
        <v>25032.29</v>
      </c>
      <c r="K584" s="77">
        <v>25126.34</v>
      </c>
      <c r="L584" s="99"/>
      <c r="M584" s="99"/>
      <c r="N584" s="99"/>
      <c r="O584" s="99"/>
      <c r="P584" s="99"/>
      <c r="Q584" s="100"/>
      <c r="R584" s="101"/>
      <c r="T584" s="97">
        <v>9000</v>
      </c>
      <c r="U584" s="77">
        <v>8090</v>
      </c>
      <c r="V584" s="77">
        <v>12070</v>
      </c>
    </row>
    <row r="585" spans="1:23" ht="15.75" thickBot="1">
      <c r="A585" s="108"/>
      <c r="B585" s="22" t="s">
        <v>136</v>
      </c>
      <c r="C585" s="23">
        <f t="shared" ref="C585:K585" si="191">IF(((C583="")*AND(C584="")),"",(C583-C584)*3)</f>
        <v>11852.04</v>
      </c>
      <c r="D585" s="23">
        <f t="shared" si="191"/>
        <v>12004.529999999995</v>
      </c>
      <c r="E585" s="23">
        <f t="shared" si="191"/>
        <v>11871.300000000007</v>
      </c>
      <c r="F585" s="23">
        <f t="shared" si="191"/>
        <v>11895.96</v>
      </c>
      <c r="G585" s="23">
        <f t="shared" si="191"/>
        <v>11570.879999999997</v>
      </c>
      <c r="H585" s="23">
        <f t="shared" si="191"/>
        <v>11971.050000000007</v>
      </c>
      <c r="I585" s="23">
        <f t="shared" si="191"/>
        <v>11991.090000000007</v>
      </c>
      <c r="J585" s="23">
        <f t="shared" si="191"/>
        <v>11989.259999999995</v>
      </c>
      <c r="K585" s="23">
        <f t="shared" si="191"/>
        <v>11860.620000000003</v>
      </c>
      <c r="L585" s="103"/>
      <c r="M585" s="103"/>
      <c r="N585" s="103"/>
      <c r="O585" s="103"/>
      <c r="P585" s="103"/>
      <c r="Q585" s="104"/>
      <c r="R585" s="105"/>
    </row>
    <row r="586" spans="1:23">
      <c r="A586" s="110">
        <v>43336</v>
      </c>
      <c r="B586" s="21" t="s">
        <v>133</v>
      </c>
      <c r="C586" s="77">
        <v>29184</v>
      </c>
      <c r="D586" s="77">
        <v>29080</v>
      </c>
      <c r="E586" s="77">
        <v>29073</v>
      </c>
      <c r="F586" s="77">
        <v>29084</v>
      </c>
      <c r="G586" s="77">
        <v>29169</v>
      </c>
      <c r="H586" s="77">
        <v>29146</v>
      </c>
      <c r="I586" s="77">
        <v>29082</v>
      </c>
      <c r="J586" s="77">
        <v>29089</v>
      </c>
      <c r="K586" s="77">
        <v>29164</v>
      </c>
      <c r="L586" s="24">
        <f>IF((K587=""),"",MAX(C588:K588))</f>
        <v>11637</v>
      </c>
      <c r="M586" s="30">
        <f>IF(K587="","",MIN(C588:K588))</f>
        <v>11220</v>
      </c>
      <c r="N586" s="24">
        <f>IF((K588=""),"",AVERAGE(C588:K588))</f>
        <v>11525.666666666666</v>
      </c>
      <c r="O586" s="24">
        <f>IF((K587=""),"",STDEV(C588:K588))</f>
        <v>138.55684753919599</v>
      </c>
      <c r="P586" s="24">
        <f>IF((K587=""),"",O586/N586*100)</f>
        <v>1.2021590728449199</v>
      </c>
      <c r="Q586" s="26" t="str">
        <f>IF(K587="","",IF(P586&lt;15,IF(M586&gt;10000,IF(N586&lt;15600,"Pass","Fail"),"Fail"),"Fail"))</f>
        <v>Pass</v>
      </c>
      <c r="R586" s="118">
        <v>1340</v>
      </c>
      <c r="T586" s="97">
        <v>10000</v>
      </c>
      <c r="U586" s="77">
        <v>8090</v>
      </c>
      <c r="V586" s="77">
        <v>12070</v>
      </c>
      <c r="W586" s="77">
        <v>6</v>
      </c>
    </row>
    <row r="587" spans="1:23">
      <c r="A587" s="107"/>
      <c r="B587" s="21" t="s">
        <v>135</v>
      </c>
      <c r="C587" s="77">
        <v>25323</v>
      </c>
      <c r="D587" s="77">
        <v>25214</v>
      </c>
      <c r="E587" s="77">
        <v>25271</v>
      </c>
      <c r="F587" s="77">
        <v>25258</v>
      </c>
      <c r="G587" s="77">
        <v>25429</v>
      </c>
      <c r="H587" s="77">
        <v>25267</v>
      </c>
      <c r="I587" s="77">
        <v>25233</v>
      </c>
      <c r="J587" s="77">
        <v>25212</v>
      </c>
      <c r="K587" s="77">
        <v>25287</v>
      </c>
      <c r="L587" s="99"/>
      <c r="M587" s="99"/>
      <c r="N587" s="99"/>
      <c r="O587" s="99"/>
      <c r="P587" s="99"/>
      <c r="Q587" s="100"/>
      <c r="R587" s="101"/>
      <c r="T587" s="97">
        <v>9000</v>
      </c>
      <c r="U587" s="77">
        <v>8090</v>
      </c>
      <c r="V587" s="77">
        <v>12070</v>
      </c>
    </row>
    <row r="588" spans="1:23" ht="15.75" thickBot="1">
      <c r="A588" s="108"/>
      <c r="B588" s="22" t="s">
        <v>136</v>
      </c>
      <c r="C588" s="23">
        <f t="shared" ref="C588:K588" si="192">IF(((C586="")*AND(C587="")),"",(C586-C587)*3)</f>
        <v>11583</v>
      </c>
      <c r="D588" s="23">
        <f t="shared" si="192"/>
        <v>11598</v>
      </c>
      <c r="E588" s="23">
        <f t="shared" si="192"/>
        <v>11406</v>
      </c>
      <c r="F588" s="23">
        <f t="shared" si="192"/>
        <v>11478</v>
      </c>
      <c r="G588" s="23">
        <f t="shared" si="192"/>
        <v>11220</v>
      </c>
      <c r="H588" s="23">
        <f t="shared" si="192"/>
        <v>11637</v>
      </c>
      <c r="I588" s="23">
        <f t="shared" si="192"/>
        <v>11547</v>
      </c>
      <c r="J588" s="23">
        <f t="shared" si="192"/>
        <v>11631</v>
      </c>
      <c r="K588" s="23">
        <f t="shared" si="192"/>
        <v>11631</v>
      </c>
      <c r="L588" s="103"/>
      <c r="M588" s="103"/>
      <c r="N588" s="103"/>
      <c r="O588" s="103"/>
      <c r="P588" s="103"/>
      <c r="Q588" s="104"/>
      <c r="R588" s="105"/>
    </row>
    <row r="589" spans="1:23">
      <c r="A589" s="110">
        <v>43339</v>
      </c>
      <c r="B589" s="21" t="s">
        <v>133</v>
      </c>
      <c r="C589" s="77">
        <v>29109.1</v>
      </c>
      <c r="D589" s="77">
        <v>29020.46</v>
      </c>
      <c r="E589" s="77">
        <v>29030.44</v>
      </c>
      <c r="F589" s="77">
        <v>29014.41</v>
      </c>
      <c r="G589" s="77">
        <v>29068.16</v>
      </c>
      <c r="H589" s="77">
        <v>29098.13</v>
      </c>
      <c r="I589" s="77">
        <v>29015.38</v>
      </c>
      <c r="J589" s="77">
        <v>29015.25</v>
      </c>
      <c r="K589" s="77">
        <v>29102.51</v>
      </c>
      <c r="L589" s="24">
        <f>IF((K590=""),"",MAX(C591:K591))</f>
        <v>10006.409999999993</v>
      </c>
      <c r="M589" s="30">
        <f>IF(K590="","",MIN(C591:K591))</f>
        <v>9685.0800000000017</v>
      </c>
      <c r="N589" s="24">
        <f>IF((K591=""),"",AVERAGE(C591:K591))</f>
        <v>9848.0566666666637</v>
      </c>
      <c r="O589" s="24">
        <f>IF((K590=""),"",STDEV(C591:K591))</f>
        <v>124.4585868872563</v>
      </c>
      <c r="P589" s="24">
        <f>IF((K590=""),"",O589/N589*100)</f>
        <v>1.2637882894045391</v>
      </c>
      <c r="Q589" s="26" t="str">
        <f>IF(K590="","",IF(P589&lt;15,IF(M589&gt;10000,IF(N589&lt;15600,"Pass","Fail"),"Fail"),"Fail"))</f>
        <v>Fail</v>
      </c>
      <c r="R589" s="118" t="s">
        <v>111</v>
      </c>
      <c r="S589" s="77" t="s">
        <v>250</v>
      </c>
      <c r="T589" s="97">
        <v>10000</v>
      </c>
      <c r="U589" s="77">
        <v>8090</v>
      </c>
      <c r="V589" s="77">
        <v>12070</v>
      </c>
      <c r="W589" s="77">
        <v>6</v>
      </c>
    </row>
    <row r="590" spans="1:23">
      <c r="A590" s="107"/>
      <c r="B590" s="21" t="s">
        <v>135</v>
      </c>
      <c r="C590" s="77">
        <v>25783.23</v>
      </c>
      <c r="D590" s="77">
        <v>25736.65</v>
      </c>
      <c r="E590" s="77">
        <v>25795.3</v>
      </c>
      <c r="F590" s="77">
        <v>25764.84</v>
      </c>
      <c r="G590" s="77">
        <v>25839.8</v>
      </c>
      <c r="H590" s="77">
        <v>25765.03</v>
      </c>
      <c r="I590" s="77">
        <v>25748.65</v>
      </c>
      <c r="J590" s="77">
        <v>25729.13</v>
      </c>
      <c r="K590" s="77">
        <v>25767.040000000001</v>
      </c>
      <c r="L590" s="99"/>
      <c r="M590" s="99"/>
      <c r="N590" s="99"/>
      <c r="O590" s="99"/>
      <c r="P590" s="99"/>
      <c r="Q590" s="100"/>
      <c r="R590" s="101"/>
      <c r="T590" s="97">
        <v>9000</v>
      </c>
      <c r="U590" s="77">
        <v>8090</v>
      </c>
      <c r="V590" s="77">
        <v>12070</v>
      </c>
    </row>
    <row r="591" spans="1:23" ht="15.75" thickBot="1">
      <c r="A591" s="108"/>
      <c r="B591" s="22" t="s">
        <v>136</v>
      </c>
      <c r="C591" s="23">
        <f t="shared" ref="C591:K591" si="193">IF(((C589="")*AND(C590="")),"",(C589-C590)*3)</f>
        <v>9977.6099999999969</v>
      </c>
      <c r="D591" s="23">
        <f t="shared" si="193"/>
        <v>9851.429999999993</v>
      </c>
      <c r="E591" s="23">
        <f t="shared" si="193"/>
        <v>9705.4199999999983</v>
      </c>
      <c r="F591" s="23">
        <f t="shared" si="193"/>
        <v>9748.7099999999991</v>
      </c>
      <c r="G591" s="23">
        <f t="shared" si="193"/>
        <v>9685.0800000000017</v>
      </c>
      <c r="H591" s="23">
        <f t="shared" si="193"/>
        <v>9999.3000000000065</v>
      </c>
      <c r="I591" s="23">
        <f t="shared" si="193"/>
        <v>9800.1899999999987</v>
      </c>
      <c r="J591" s="23">
        <f t="shared" si="193"/>
        <v>9858.3599999999969</v>
      </c>
      <c r="K591" s="23">
        <f t="shared" si="193"/>
        <v>10006.409999999993</v>
      </c>
      <c r="L591" s="103"/>
      <c r="M591" s="103"/>
      <c r="N591" s="103"/>
      <c r="O591" s="103"/>
      <c r="P591" s="103"/>
      <c r="Q591" s="104"/>
      <c r="R591" s="105"/>
    </row>
    <row r="592" spans="1:23">
      <c r="A592" s="110">
        <v>43340</v>
      </c>
      <c r="B592" s="21" t="s">
        <v>133</v>
      </c>
      <c r="C592" s="77">
        <v>29102.720000000001</v>
      </c>
      <c r="D592" s="77">
        <v>29049.78</v>
      </c>
      <c r="E592" s="77">
        <v>29104.57</v>
      </c>
      <c r="F592" s="77">
        <v>29050.15</v>
      </c>
      <c r="G592" s="77">
        <v>29129.81</v>
      </c>
      <c r="H592" s="77">
        <v>29124.62</v>
      </c>
      <c r="I592" s="77">
        <v>29056.5</v>
      </c>
      <c r="J592" s="77">
        <v>29048.42</v>
      </c>
      <c r="K592" s="77">
        <v>29101.96</v>
      </c>
      <c r="L592" s="24">
        <f>IF((K593=""),"",MAX(C594:K594))</f>
        <v>10494.810000000001</v>
      </c>
      <c r="M592" s="30">
        <f>IF(K593="","",MIN(C594:K594))</f>
        <v>10157.219999999994</v>
      </c>
      <c r="N592" s="24">
        <f>IF((K594=""),"",AVERAGE(C594:K594))</f>
        <v>10289.909999999998</v>
      </c>
      <c r="O592" s="24">
        <f>IF((K593=""),"",STDEV(C594:K594))</f>
        <v>108.91469942116947</v>
      </c>
      <c r="P592" s="24">
        <f>IF((K593=""),"",O592/N592*100)</f>
        <v>1.0584611470962282</v>
      </c>
      <c r="Q592" s="26" t="str">
        <f>IF(K593="","",IF(P592&lt;15,IF(M592&gt;10000,IF(N592&lt;15600,"Pass","Fail"),"Fail"),"Fail"))</f>
        <v>Pass</v>
      </c>
      <c r="R592" s="118">
        <v>74</v>
      </c>
      <c r="S592" s="77" t="s">
        <v>251</v>
      </c>
      <c r="T592" s="97">
        <v>10000</v>
      </c>
      <c r="U592" s="77">
        <v>8090</v>
      </c>
      <c r="V592" s="77">
        <v>12070</v>
      </c>
      <c r="W592" s="77">
        <v>6</v>
      </c>
    </row>
    <row r="593" spans="1:23">
      <c r="A593" s="107"/>
      <c r="B593" s="21" t="s">
        <v>135</v>
      </c>
      <c r="C593" s="77">
        <v>25707.14</v>
      </c>
      <c r="D593" s="77">
        <v>25645.29</v>
      </c>
      <c r="E593" s="77">
        <v>25718.83</v>
      </c>
      <c r="F593" s="77">
        <v>25623.75</v>
      </c>
      <c r="G593" s="77">
        <v>25663.360000000001</v>
      </c>
      <c r="H593" s="77">
        <v>25679.26</v>
      </c>
      <c r="I593" s="77">
        <v>25647.49</v>
      </c>
      <c r="J593" s="77">
        <v>25609.99</v>
      </c>
      <c r="K593" s="77">
        <v>25603.69</v>
      </c>
      <c r="L593" s="99"/>
      <c r="M593" s="99"/>
      <c r="N593" s="99"/>
      <c r="O593" s="99"/>
      <c r="P593" s="99"/>
      <c r="Q593" s="100"/>
      <c r="R593" s="101"/>
      <c r="T593" s="97">
        <v>9000</v>
      </c>
      <c r="U593" s="77">
        <v>8090</v>
      </c>
      <c r="V593" s="77">
        <v>12070</v>
      </c>
    </row>
    <row r="594" spans="1:23" ht="15.75" thickBot="1">
      <c r="A594" s="108"/>
      <c r="B594" s="22" t="s">
        <v>136</v>
      </c>
      <c r="C594" s="23">
        <f t="shared" ref="C594:K594" si="194">IF(((C592="")*AND(C593="")),"",(C592-C593)*3)</f>
        <v>10186.740000000005</v>
      </c>
      <c r="D594" s="23">
        <f t="shared" si="194"/>
        <v>10213.469999999994</v>
      </c>
      <c r="E594" s="23">
        <f t="shared" si="194"/>
        <v>10157.219999999994</v>
      </c>
      <c r="F594" s="23">
        <f t="shared" si="194"/>
        <v>10279.200000000004</v>
      </c>
      <c r="G594" s="23">
        <f t="shared" si="194"/>
        <v>10399.350000000002</v>
      </c>
      <c r="H594" s="23">
        <f t="shared" si="194"/>
        <v>10336.080000000002</v>
      </c>
      <c r="I594" s="23">
        <f t="shared" si="194"/>
        <v>10227.029999999995</v>
      </c>
      <c r="J594" s="23">
        <f t="shared" si="194"/>
        <v>10315.28999999999</v>
      </c>
      <c r="K594" s="23">
        <f t="shared" si="194"/>
        <v>10494.810000000001</v>
      </c>
      <c r="L594" s="103"/>
      <c r="M594" s="103"/>
      <c r="N594" s="103"/>
      <c r="O594" s="103"/>
      <c r="P594" s="103"/>
      <c r="Q594" s="104"/>
      <c r="R594" s="105"/>
    </row>
    <row r="595" spans="1:23">
      <c r="A595" s="110">
        <v>43344</v>
      </c>
      <c r="B595" s="21" t="s">
        <v>133</v>
      </c>
      <c r="C595" s="77">
        <v>29084.68</v>
      </c>
      <c r="D595" s="77">
        <v>29060.55</v>
      </c>
      <c r="E595" s="77">
        <v>29107.040000000001</v>
      </c>
      <c r="F595" s="77">
        <v>29007.95</v>
      </c>
      <c r="G595" s="77">
        <v>29149.48</v>
      </c>
      <c r="H595" s="77">
        <v>29072.12</v>
      </c>
      <c r="I595" s="77">
        <v>29013.73</v>
      </c>
      <c r="J595" s="77">
        <v>29029.88</v>
      </c>
      <c r="K595" s="77">
        <v>29129.24</v>
      </c>
      <c r="L595" s="24">
        <f>IF((K596=""),"",MAX(C597:K597))</f>
        <v>11979.630000000008</v>
      </c>
      <c r="M595" s="30">
        <f>IF(K596="","",MIN(C597:K597))</f>
        <v>11302.890000000003</v>
      </c>
      <c r="N595" s="24">
        <f>IF((K597=""),"",AVERAGE(C597:K597))</f>
        <v>11715.500000000004</v>
      </c>
      <c r="O595" s="24">
        <f>IF((K596=""),"",STDEV(C597:K597))</f>
        <v>189.00538861362665</v>
      </c>
      <c r="P595" s="24">
        <f>IF((K596=""),"",O595/N595*100)</f>
        <v>1.6132934028733437</v>
      </c>
      <c r="Q595" s="26" t="str">
        <f>IF(K596="","",IF(P595&lt;15,IF(M595&gt;10000,IF(N595&lt;15600,"Pass","Fail"),"Fail"),"Fail"))</f>
        <v>Pass</v>
      </c>
      <c r="R595" s="118">
        <v>1335</v>
      </c>
      <c r="S595" s="77" t="s">
        <v>252</v>
      </c>
      <c r="T595" s="97">
        <v>10000</v>
      </c>
      <c r="U595" s="77">
        <v>8090</v>
      </c>
      <c r="V595" s="77">
        <v>12070</v>
      </c>
      <c r="W595" s="77">
        <v>6</v>
      </c>
    </row>
    <row r="596" spans="1:23">
      <c r="A596" s="107"/>
      <c r="B596" s="21" t="s">
        <v>135</v>
      </c>
      <c r="C596" s="77">
        <v>25317.05</v>
      </c>
      <c r="D596" s="77">
        <v>25130.12</v>
      </c>
      <c r="E596" s="77">
        <v>25179.919999999998</v>
      </c>
      <c r="F596" s="77">
        <v>25098.26</v>
      </c>
      <c r="G596" s="77">
        <v>25200.87</v>
      </c>
      <c r="H596" s="77">
        <v>25210.51</v>
      </c>
      <c r="I596" s="77">
        <v>25118.53</v>
      </c>
      <c r="J596" s="77">
        <v>25116.880000000001</v>
      </c>
      <c r="K596" s="77">
        <v>25136.03</v>
      </c>
      <c r="L596" s="99"/>
      <c r="M596" s="99"/>
      <c r="N596" s="99"/>
      <c r="O596" s="99"/>
      <c r="P596" s="99"/>
      <c r="Q596" s="100"/>
      <c r="R596" s="101"/>
      <c r="T596" s="97">
        <v>9000</v>
      </c>
      <c r="U596" s="77">
        <v>8090</v>
      </c>
      <c r="V596" s="77">
        <v>12070</v>
      </c>
    </row>
    <row r="597" spans="1:23" ht="15.75" thickBot="1">
      <c r="A597" s="108"/>
      <c r="B597" s="22" t="s">
        <v>136</v>
      </c>
      <c r="C597" s="23">
        <f t="shared" ref="C597:K597" si="195">IF(((C595="")*AND(C596="")),"",(C595-C596)*3)</f>
        <v>11302.890000000003</v>
      </c>
      <c r="D597" s="23">
        <f t="shared" si="195"/>
        <v>11791.29</v>
      </c>
      <c r="E597" s="23">
        <f t="shared" si="195"/>
        <v>11781.360000000008</v>
      </c>
      <c r="F597" s="23">
        <f t="shared" si="195"/>
        <v>11729.070000000007</v>
      </c>
      <c r="G597" s="23">
        <f t="shared" si="195"/>
        <v>11845.830000000002</v>
      </c>
      <c r="H597" s="23">
        <f t="shared" si="195"/>
        <v>11584.830000000002</v>
      </c>
      <c r="I597" s="23">
        <f t="shared" si="195"/>
        <v>11685.600000000002</v>
      </c>
      <c r="J597" s="23">
        <f t="shared" si="195"/>
        <v>11739</v>
      </c>
      <c r="K597" s="23">
        <f t="shared" si="195"/>
        <v>11979.630000000008</v>
      </c>
      <c r="L597" s="103"/>
      <c r="M597" s="103"/>
      <c r="N597" s="103"/>
      <c r="O597" s="103"/>
      <c r="P597" s="103"/>
      <c r="Q597" s="104"/>
      <c r="R597" s="105"/>
    </row>
    <row r="598" spans="1:23">
      <c r="A598" s="110">
        <v>43348</v>
      </c>
      <c r="B598" s="21" t="s">
        <v>133</v>
      </c>
      <c r="C598" s="77">
        <v>29067.52</v>
      </c>
      <c r="D598" s="77">
        <v>29059</v>
      </c>
      <c r="E598" s="77">
        <v>29098.93</v>
      </c>
      <c r="F598" s="77">
        <v>29127.29</v>
      </c>
      <c r="G598" s="77">
        <v>29136.5</v>
      </c>
      <c r="H598" s="77">
        <v>29054.2</v>
      </c>
      <c r="I598" s="77">
        <v>29037.31</v>
      </c>
      <c r="J598" s="77">
        <v>29069.66</v>
      </c>
      <c r="K598" s="77">
        <v>29142.82</v>
      </c>
      <c r="L598" s="24">
        <f>IF((K599=""),"",MAX(C600:K600))</f>
        <v>12687.810000000001</v>
      </c>
      <c r="M598" s="30">
        <f>IF(K599="","",MIN(C600:K600))</f>
        <v>12285.48</v>
      </c>
      <c r="N598" s="24">
        <f>IF((K600=""),"",AVERAGE(C600:K600))</f>
        <v>12467.190000000002</v>
      </c>
      <c r="O598" s="24">
        <f>IF((K599=""),"",STDEV(C600:K600))</f>
        <v>156.51524143032995</v>
      </c>
      <c r="P598" s="24">
        <f>IF((K599=""),"",O598/N598*100)</f>
        <v>1.2554171503789542</v>
      </c>
      <c r="Q598" s="26" t="str">
        <f>IF(K599="","",IF(P598&lt;15,IF(M598&gt;10000,IF(N598&lt;15600,"Pass","Fail"),"Fail"),"Fail"))</f>
        <v>Pass</v>
      </c>
      <c r="R598" s="118">
        <v>1428</v>
      </c>
      <c r="T598" s="97">
        <v>10000</v>
      </c>
      <c r="U598" s="77">
        <v>8090</v>
      </c>
      <c r="V598" s="77">
        <v>12070</v>
      </c>
      <c r="W598" s="77">
        <v>6</v>
      </c>
    </row>
    <row r="599" spans="1:23">
      <c r="A599" s="107"/>
      <c r="B599" s="21" t="s">
        <v>135</v>
      </c>
      <c r="C599" s="77">
        <v>24966.92</v>
      </c>
      <c r="D599" s="77">
        <v>24930.37</v>
      </c>
      <c r="E599" s="77">
        <v>25003.77</v>
      </c>
      <c r="F599" s="77">
        <v>24898.02</v>
      </c>
      <c r="G599" s="77">
        <v>24923.91</v>
      </c>
      <c r="H599" s="77">
        <v>24920.48</v>
      </c>
      <c r="I599" s="77">
        <v>24920.48</v>
      </c>
      <c r="J599" s="77">
        <v>24899.71</v>
      </c>
      <c r="K599" s="77">
        <v>24928</v>
      </c>
      <c r="L599" s="99"/>
      <c r="M599" s="99"/>
      <c r="N599" s="99"/>
      <c r="O599" s="99"/>
      <c r="P599" s="99"/>
      <c r="Q599" s="100"/>
      <c r="R599" s="101"/>
      <c r="T599" s="97">
        <v>9000</v>
      </c>
      <c r="U599" s="77">
        <v>8090</v>
      </c>
      <c r="V599" s="77">
        <v>12070</v>
      </c>
    </row>
    <row r="600" spans="1:23" ht="15.75" thickBot="1">
      <c r="A600" s="108"/>
      <c r="B600" s="22" t="s">
        <v>136</v>
      </c>
      <c r="C600" s="23">
        <f t="shared" ref="C600:K600" si="196">IF(((C598="")*AND(C599="")),"",(C598-C599)*3)</f>
        <v>12301.800000000007</v>
      </c>
      <c r="D600" s="23">
        <f t="shared" si="196"/>
        <v>12385.890000000003</v>
      </c>
      <c r="E600" s="23">
        <f t="shared" si="196"/>
        <v>12285.48</v>
      </c>
      <c r="F600" s="23">
        <f t="shared" si="196"/>
        <v>12687.810000000001</v>
      </c>
      <c r="G600" s="23">
        <f t="shared" si="196"/>
        <v>12637.77</v>
      </c>
      <c r="H600" s="23">
        <f t="shared" si="196"/>
        <v>12401.160000000003</v>
      </c>
      <c r="I600" s="23">
        <f t="shared" si="196"/>
        <v>12350.490000000005</v>
      </c>
      <c r="J600" s="23">
        <f t="shared" si="196"/>
        <v>12509.850000000002</v>
      </c>
      <c r="K600" s="23">
        <f t="shared" si="196"/>
        <v>12644.46</v>
      </c>
      <c r="L600" s="103"/>
      <c r="M600" s="103"/>
      <c r="N600" s="103"/>
      <c r="O600" s="103"/>
      <c r="P600" s="103"/>
      <c r="Q600" s="104"/>
      <c r="R600" s="105"/>
    </row>
    <row r="601" spans="1:23">
      <c r="A601" s="110">
        <v>43352</v>
      </c>
      <c r="B601" s="21" t="s">
        <v>133</v>
      </c>
      <c r="C601" s="77">
        <v>29097.88</v>
      </c>
      <c r="D601" s="77">
        <v>29013.79</v>
      </c>
      <c r="E601" s="77">
        <v>29011.7</v>
      </c>
      <c r="F601" s="77">
        <v>28997.83</v>
      </c>
      <c r="G601" s="77">
        <v>29061.82</v>
      </c>
      <c r="H601" s="77">
        <v>29062.43</v>
      </c>
      <c r="I601" s="77">
        <v>29000.240000000002</v>
      </c>
      <c r="J601" s="77">
        <v>29014.59</v>
      </c>
      <c r="K601" s="77">
        <v>29091.51</v>
      </c>
      <c r="L601" s="24">
        <f>IF((K602=""),"",MAX(C603:K603))</f>
        <v>12038.03999999999</v>
      </c>
      <c r="M601" s="30">
        <f>IF(K602="","",MIN(C603:K603))</f>
        <v>11637.780000000006</v>
      </c>
      <c r="N601" s="24">
        <f>IF((K603=""),"",AVERAGE(C603:K603))</f>
        <v>11870.816666666669</v>
      </c>
      <c r="O601" s="24">
        <f>IF((K602=""),"",STDEV(C603:K603))</f>
        <v>142.67728953833881</v>
      </c>
      <c r="P601" s="24">
        <f>IF((K602=""),"",O601/N601*100)</f>
        <v>1.2019163764779348</v>
      </c>
      <c r="Q601" s="26" t="str">
        <f>IF(K602="","",IF(P601&lt;15,IF(M601&gt;10000,IF(N601&lt;15600,"Pass","Fail"),"Fail"),"Fail"))</f>
        <v>Pass</v>
      </c>
      <c r="R601" s="118">
        <v>74</v>
      </c>
      <c r="T601" s="97">
        <v>10000</v>
      </c>
      <c r="U601" s="77">
        <v>8090</v>
      </c>
      <c r="V601" s="77">
        <v>12070</v>
      </c>
      <c r="W601" s="77">
        <v>6</v>
      </c>
    </row>
    <row r="602" spans="1:23">
      <c r="A602" s="107"/>
      <c r="B602" s="21" t="s">
        <v>135</v>
      </c>
      <c r="C602" s="77">
        <v>25218.62</v>
      </c>
      <c r="D602" s="77">
        <v>25079.89</v>
      </c>
      <c r="E602" s="77">
        <v>25126.23</v>
      </c>
      <c r="F602" s="77">
        <v>25017.58</v>
      </c>
      <c r="G602" s="77">
        <v>25075.41</v>
      </c>
      <c r="H602" s="77">
        <v>25077.16</v>
      </c>
      <c r="I602" s="77">
        <v>25041.07</v>
      </c>
      <c r="J602" s="77">
        <v>25024.55</v>
      </c>
      <c r="K602" s="77">
        <v>25078.83</v>
      </c>
      <c r="L602" s="99"/>
      <c r="M602" s="99"/>
      <c r="N602" s="99"/>
      <c r="O602" s="99"/>
      <c r="P602" s="99"/>
      <c r="Q602" s="100"/>
      <c r="R602" s="101"/>
      <c r="T602" s="97">
        <v>9000</v>
      </c>
      <c r="U602" s="77">
        <v>8090</v>
      </c>
      <c r="V602" s="77">
        <v>12070</v>
      </c>
    </row>
    <row r="603" spans="1:23" ht="15.75" thickBot="1">
      <c r="A603" s="108"/>
      <c r="B603" s="22" t="s">
        <v>136</v>
      </c>
      <c r="C603" s="23">
        <f t="shared" ref="C603:K603" si="197">IF(((C601="")*AND(C602="")),"",(C601-C602)*3)</f>
        <v>11637.780000000006</v>
      </c>
      <c r="D603" s="23">
        <f t="shared" si="197"/>
        <v>11801.700000000004</v>
      </c>
      <c r="E603" s="23">
        <f t="shared" si="197"/>
        <v>11656.410000000003</v>
      </c>
      <c r="F603" s="23">
        <f t="shared" si="197"/>
        <v>11940.75</v>
      </c>
      <c r="G603" s="23">
        <f t="shared" si="197"/>
        <v>11959.23</v>
      </c>
      <c r="H603" s="23">
        <f t="shared" si="197"/>
        <v>11955.810000000001</v>
      </c>
      <c r="I603" s="23">
        <f t="shared" si="197"/>
        <v>11877.510000000006</v>
      </c>
      <c r="J603" s="23">
        <f t="shared" si="197"/>
        <v>11970.120000000003</v>
      </c>
      <c r="K603" s="23">
        <f t="shared" si="197"/>
        <v>12038.03999999999</v>
      </c>
      <c r="L603" s="103"/>
      <c r="M603" s="103"/>
      <c r="N603" s="103"/>
      <c r="O603" s="103"/>
      <c r="P603" s="103"/>
      <c r="Q603" s="104"/>
      <c r="R603" s="105"/>
    </row>
    <row r="604" spans="1:23">
      <c r="A604" s="110">
        <v>43356</v>
      </c>
      <c r="B604" s="21" t="s">
        <v>133</v>
      </c>
      <c r="C604" s="77">
        <v>29147.46</v>
      </c>
      <c r="D604" s="77">
        <v>29072.85</v>
      </c>
      <c r="E604" s="77">
        <v>29136.2</v>
      </c>
      <c r="F604" s="77">
        <v>29068.68</v>
      </c>
      <c r="G604" s="77">
        <v>29137.43</v>
      </c>
      <c r="H604" s="77">
        <v>29138.9</v>
      </c>
      <c r="I604" s="77">
        <v>29061.81</v>
      </c>
      <c r="J604" s="77">
        <v>29061.46</v>
      </c>
      <c r="K604" s="77">
        <v>29138.16</v>
      </c>
      <c r="L604" s="24">
        <f>IF((K605=""),"",MAX(C606:K606))</f>
        <v>15180.930000000004</v>
      </c>
      <c r="M604" s="30">
        <f>IF(K605="","",MIN(C606:K606))</f>
        <v>13939.649999999998</v>
      </c>
      <c r="N604" s="24">
        <f>IF((K606=""),"",AVERAGE(C606:K606))</f>
        <v>14813.073333333334</v>
      </c>
      <c r="O604" s="24">
        <f>IF((K605=""),"",STDEV(C606:K606))</f>
        <v>366.3109993570734</v>
      </c>
      <c r="P604" s="24">
        <f>IF((K605=""),"",O604/N604*100)</f>
        <v>2.4728899338719721</v>
      </c>
      <c r="Q604" s="26" t="str">
        <f>IF(K605="","",IF(P604&lt;15,IF(M604&gt;10000,IF(N604&lt;15600,"Pass","Fail"),"Fail"),"Fail"))</f>
        <v>Pass</v>
      </c>
      <c r="R604" s="118">
        <v>121</v>
      </c>
      <c r="T604" s="97">
        <v>10000</v>
      </c>
      <c r="U604" s="77">
        <v>8090</v>
      </c>
      <c r="V604" s="77">
        <v>12070</v>
      </c>
      <c r="W604" s="77">
        <v>6</v>
      </c>
    </row>
    <row r="605" spans="1:23">
      <c r="A605" s="107"/>
      <c r="B605" s="21" t="s">
        <v>135</v>
      </c>
      <c r="C605" s="77">
        <v>24500.91</v>
      </c>
      <c r="D605" s="77">
        <v>24164.41</v>
      </c>
      <c r="E605" s="77">
        <v>24139.21</v>
      </c>
      <c r="F605" s="77">
        <v>24008.37</v>
      </c>
      <c r="G605" s="77">
        <v>24211.05</v>
      </c>
      <c r="H605" s="77">
        <v>24208.18</v>
      </c>
      <c r="I605" s="77">
        <v>24034.79</v>
      </c>
      <c r="J605" s="77">
        <v>24041.71</v>
      </c>
      <c r="K605" s="77">
        <v>24215.1</v>
      </c>
      <c r="L605" s="99"/>
      <c r="M605" s="99"/>
      <c r="N605" s="99"/>
      <c r="O605" s="99"/>
      <c r="P605" s="99"/>
      <c r="Q605" s="100"/>
      <c r="R605" s="101"/>
      <c r="T605" s="97">
        <v>9000</v>
      </c>
      <c r="U605" s="77">
        <v>8090</v>
      </c>
      <c r="V605" s="77">
        <v>12070</v>
      </c>
    </row>
    <row r="606" spans="1:23" ht="15.75" thickBot="1">
      <c r="A606" s="108"/>
      <c r="B606" s="22" t="s">
        <v>136</v>
      </c>
      <c r="C606" s="23">
        <f t="shared" ref="C606:K606" si="198">IF(((C604="")*AND(C605="")),"",(C604-C605)*3)</f>
        <v>13939.649999999998</v>
      </c>
      <c r="D606" s="23">
        <f t="shared" si="198"/>
        <v>14725.319999999996</v>
      </c>
      <c r="E606" s="23">
        <f t="shared" si="198"/>
        <v>14990.970000000005</v>
      </c>
      <c r="F606" s="23">
        <f t="shared" si="198"/>
        <v>15180.930000000004</v>
      </c>
      <c r="G606" s="23">
        <f t="shared" si="198"/>
        <v>14779.140000000003</v>
      </c>
      <c r="H606" s="23">
        <f t="shared" si="198"/>
        <v>14792.160000000003</v>
      </c>
      <c r="I606" s="23">
        <f t="shared" si="198"/>
        <v>15081.060000000001</v>
      </c>
      <c r="J606" s="23">
        <f t="shared" si="198"/>
        <v>15059.25</v>
      </c>
      <c r="K606" s="23">
        <f t="shared" si="198"/>
        <v>14769.180000000004</v>
      </c>
      <c r="L606" s="103"/>
      <c r="M606" s="103"/>
      <c r="N606" s="103"/>
      <c r="O606" s="103"/>
      <c r="P606" s="103"/>
      <c r="Q606" s="104"/>
      <c r="R606" s="105"/>
    </row>
    <row r="607" spans="1:23">
      <c r="A607" s="110">
        <v>43360</v>
      </c>
      <c r="B607" s="21" t="s">
        <v>133</v>
      </c>
      <c r="C607" s="77">
        <v>29300.05</v>
      </c>
      <c r="D607" s="77">
        <v>29198.59</v>
      </c>
      <c r="E607" s="77">
        <v>29191.78</v>
      </c>
      <c r="F607" s="77">
        <v>29181.54</v>
      </c>
      <c r="G607" s="77">
        <v>29281.19</v>
      </c>
      <c r="H607" s="77">
        <v>29255.08</v>
      </c>
      <c r="I607" s="77">
        <v>29188.79</v>
      </c>
      <c r="J607" s="77">
        <v>29179.46</v>
      </c>
      <c r="K607" s="77">
        <v>29274.16</v>
      </c>
      <c r="L607" s="24">
        <f>IF((K608=""),"",MAX(C609:K609))</f>
        <v>13261.23</v>
      </c>
      <c r="M607" s="30">
        <f>IF(K608="","",MIN(C609:K609))</f>
        <v>12831.929999999993</v>
      </c>
      <c r="N607" s="24">
        <f>IF((K609=""),"",AVERAGE(C609:K609))</f>
        <v>13092.863333333333</v>
      </c>
      <c r="O607" s="24">
        <f>IF((K608=""),"",STDEV(C609:K609))</f>
        <v>128.71910328329199</v>
      </c>
      <c r="P607" s="24">
        <f>IF((K608=""),"",O607/N607*100)</f>
        <v>0.98312416471639119</v>
      </c>
      <c r="Q607" s="26" t="str">
        <f>IF(K608="","",IF(P607&lt;15,IF(M607&gt;10000,IF(N607&lt;15600,"Pass","Fail"),"Fail"),"Fail"))</f>
        <v>Pass</v>
      </c>
      <c r="R607" s="118">
        <v>1340</v>
      </c>
      <c r="S607" s="77" t="s">
        <v>253</v>
      </c>
      <c r="T607" s="97">
        <v>10000</v>
      </c>
      <c r="U607" s="77">
        <v>8090</v>
      </c>
      <c r="V607" s="77">
        <v>12070</v>
      </c>
      <c r="W607" s="77">
        <v>6</v>
      </c>
    </row>
    <row r="608" spans="1:23">
      <c r="A608" s="107"/>
      <c r="B608" s="21" t="s">
        <v>135</v>
      </c>
      <c r="C608" s="77">
        <v>25022.74</v>
      </c>
      <c r="D608" s="77">
        <v>24848.51</v>
      </c>
      <c r="E608" s="77">
        <v>24868.37</v>
      </c>
      <c r="F608" s="77">
        <v>24791.49</v>
      </c>
      <c r="G608" s="77">
        <v>24906.71</v>
      </c>
      <c r="H608" s="77">
        <v>24888.66</v>
      </c>
      <c r="I608" s="77">
        <v>24811.13</v>
      </c>
      <c r="J608" s="77">
        <v>24780.69</v>
      </c>
      <c r="K608" s="77">
        <v>24853.75</v>
      </c>
      <c r="L608" s="99"/>
      <c r="M608" s="99"/>
      <c r="N608" s="99"/>
      <c r="O608" s="99"/>
      <c r="P608" s="99"/>
      <c r="Q608" s="100"/>
      <c r="R608" s="101"/>
      <c r="T608" s="97">
        <v>9000</v>
      </c>
      <c r="U608" s="77">
        <v>8090</v>
      </c>
      <c r="V608" s="77">
        <v>12070</v>
      </c>
    </row>
    <row r="609" spans="1:23" ht="15.75" thickBot="1">
      <c r="A609" s="108"/>
      <c r="B609" s="22" t="s">
        <v>136</v>
      </c>
      <c r="C609" s="23">
        <f t="shared" ref="C609:K609" si="199">IF(((C607="")*AND(C608="")),"",(C607-C608)*3)</f>
        <v>12831.929999999993</v>
      </c>
      <c r="D609" s="23">
        <f t="shared" si="199"/>
        <v>13050.240000000005</v>
      </c>
      <c r="E609" s="23">
        <f t="shared" si="199"/>
        <v>12970.23</v>
      </c>
      <c r="F609" s="23">
        <f t="shared" si="199"/>
        <v>13170.149999999998</v>
      </c>
      <c r="G609" s="23">
        <f t="shared" si="199"/>
        <v>13123.439999999999</v>
      </c>
      <c r="H609" s="23">
        <f t="shared" si="199"/>
        <v>13099.260000000006</v>
      </c>
      <c r="I609" s="23">
        <f t="shared" si="199"/>
        <v>13132.98</v>
      </c>
      <c r="J609" s="23">
        <f t="shared" si="199"/>
        <v>13196.310000000001</v>
      </c>
      <c r="K609" s="23">
        <f t="shared" si="199"/>
        <v>13261.23</v>
      </c>
      <c r="L609" s="103"/>
      <c r="M609" s="103"/>
      <c r="N609" s="103"/>
      <c r="O609" s="103"/>
      <c r="P609" s="103"/>
      <c r="Q609" s="104"/>
      <c r="R609" s="105"/>
    </row>
    <row r="610" spans="1:23">
      <c r="A610" s="110">
        <v>43364</v>
      </c>
      <c r="B610" s="21" t="s">
        <v>133</v>
      </c>
      <c r="C610" s="74">
        <v>29256.15</v>
      </c>
      <c r="D610" s="74">
        <v>29170.31</v>
      </c>
      <c r="E610" s="74">
        <v>29159.22</v>
      </c>
      <c r="F610" s="74">
        <v>29175.26</v>
      </c>
      <c r="G610" s="74">
        <v>29271.68</v>
      </c>
      <c r="H610" s="74">
        <v>29243.58</v>
      </c>
      <c r="I610" s="74">
        <v>29157.7</v>
      </c>
      <c r="J610" s="74">
        <v>29159.51</v>
      </c>
      <c r="K610" s="74">
        <v>29237.9</v>
      </c>
      <c r="L610" s="24">
        <f>IF((K611=""),"",MAX(C612:K612))</f>
        <v>11579.310000000001</v>
      </c>
      <c r="M610" s="30">
        <f>IF(K611="","",MIN(C612:K612))</f>
        <v>11189.52</v>
      </c>
      <c r="N610" s="24">
        <f>IF((K612=""),"",AVERAGE(C612:K612))</f>
        <v>11444.446666666667</v>
      </c>
      <c r="O610" s="24">
        <f>IF((K611=""),"",STDEV(C612:K612))</f>
        <v>134.69740179388685</v>
      </c>
      <c r="P610" s="24">
        <f>IF((K611=""),"",O610/N610*100)</f>
        <v>1.176967359952922</v>
      </c>
      <c r="Q610" s="26" t="str">
        <f>IF(K611="","",IF(P610&lt;15,IF(M610&gt;10000,IF(N610&lt;15600,"Pass","Fail"),"Fail"),"Fail"))</f>
        <v>Pass</v>
      </c>
      <c r="R610" s="118">
        <v>102</v>
      </c>
      <c r="T610" s="97">
        <v>10000</v>
      </c>
      <c r="U610" s="77">
        <v>8090</v>
      </c>
      <c r="V610" s="77">
        <v>12070</v>
      </c>
      <c r="W610" s="77">
        <v>6</v>
      </c>
    </row>
    <row r="611" spans="1:23">
      <c r="A611" s="107"/>
      <c r="B611" s="21" t="s">
        <v>135</v>
      </c>
      <c r="C611" s="75">
        <v>25526.31</v>
      </c>
      <c r="D611" s="75">
        <v>25375.1</v>
      </c>
      <c r="E611" s="75">
        <v>25399.29</v>
      </c>
      <c r="F611" s="75">
        <v>25342.97</v>
      </c>
      <c r="G611" s="75">
        <v>25418.79</v>
      </c>
      <c r="H611" s="75">
        <v>25390.37</v>
      </c>
      <c r="I611" s="75">
        <v>25337.51</v>
      </c>
      <c r="J611" s="75">
        <v>25329.5</v>
      </c>
      <c r="K611" s="75">
        <v>25378.13</v>
      </c>
      <c r="L611" s="99"/>
      <c r="M611" s="99"/>
      <c r="N611" s="99"/>
      <c r="O611" s="99"/>
      <c r="P611" s="99"/>
      <c r="Q611" s="100"/>
      <c r="R611" s="101"/>
      <c r="T611" s="97">
        <v>9000</v>
      </c>
      <c r="U611" s="77">
        <v>8090</v>
      </c>
      <c r="V611" s="77">
        <v>12070</v>
      </c>
    </row>
    <row r="612" spans="1:23" ht="15.75" thickBot="1">
      <c r="A612" s="108"/>
      <c r="B612" s="22" t="s">
        <v>136</v>
      </c>
      <c r="C612" s="23">
        <f t="shared" ref="C612:K612" si="200">IF(((C610="")*AND(C611="")),"",(C610-C611)*3)</f>
        <v>11189.52</v>
      </c>
      <c r="D612" s="23">
        <f t="shared" si="200"/>
        <v>11385.630000000008</v>
      </c>
      <c r="E612" s="23">
        <f t="shared" si="200"/>
        <v>11279.79</v>
      </c>
      <c r="F612" s="23">
        <f t="shared" si="200"/>
        <v>11496.869999999992</v>
      </c>
      <c r="G612" s="23">
        <f t="shared" si="200"/>
        <v>11558.669999999998</v>
      </c>
      <c r="H612" s="23">
        <f t="shared" si="200"/>
        <v>11559.630000000008</v>
      </c>
      <c r="I612" s="23">
        <f t="shared" si="200"/>
        <v>11460.570000000007</v>
      </c>
      <c r="J612" s="23">
        <f t="shared" si="200"/>
        <v>11490.029999999995</v>
      </c>
      <c r="K612" s="23">
        <f t="shared" si="200"/>
        <v>11579.310000000001</v>
      </c>
      <c r="L612" s="103"/>
      <c r="M612" s="103"/>
      <c r="N612" s="103"/>
      <c r="O612" s="103"/>
      <c r="P612" s="103"/>
      <c r="Q612" s="104"/>
      <c r="R612" s="105"/>
    </row>
    <row r="613" spans="1:23">
      <c r="A613" s="110">
        <v>43368</v>
      </c>
      <c r="B613" s="21" t="s">
        <v>133</v>
      </c>
      <c r="C613" s="77">
        <v>29204.1</v>
      </c>
      <c r="D613" s="77">
        <v>29123.45</v>
      </c>
      <c r="E613" s="77">
        <v>29118.57</v>
      </c>
      <c r="F613" s="77">
        <v>29112.95</v>
      </c>
      <c r="G613" s="77">
        <v>29192.92</v>
      </c>
      <c r="H613" s="77">
        <v>29200.46</v>
      </c>
      <c r="I613" s="77">
        <v>29109.27</v>
      </c>
      <c r="J613" s="77">
        <v>29109.67</v>
      </c>
      <c r="K613" s="77">
        <v>29187.54</v>
      </c>
      <c r="L613" s="24">
        <f>IF((K614=""),"",MAX(C615:K615))</f>
        <v>12891.149999999998</v>
      </c>
      <c r="M613" s="30">
        <f>IF(K614="","",MIN(C615:K615))</f>
        <v>12157.169999999998</v>
      </c>
      <c r="N613" s="24">
        <f>IF((K615=""),"",AVERAGE(C615:K615))</f>
        <v>12600.843333333331</v>
      </c>
      <c r="O613" s="24">
        <f>IF((K614=""),"",STDEV(C615:K615))</f>
        <v>205.57935079916723</v>
      </c>
      <c r="P613" s="24">
        <f>IF((K614=""),"",O613/N613*100)</f>
        <v>1.6314729527296239</v>
      </c>
      <c r="Q613" s="26" t="str">
        <f>IF(K614="","",IF(P613&lt;15,IF(M613&gt;10000,IF(N613&lt;15600,"Pass","Fail"),"Fail"),"Fail"))</f>
        <v>Pass</v>
      </c>
      <c r="R613" s="118">
        <v>1340</v>
      </c>
      <c r="T613" s="97">
        <v>10000</v>
      </c>
      <c r="U613" s="77">
        <v>8090</v>
      </c>
      <c r="V613" s="77">
        <v>12070</v>
      </c>
      <c r="W613" s="77">
        <v>6</v>
      </c>
    </row>
    <row r="614" spans="1:23">
      <c r="A614" s="107"/>
      <c r="B614" s="21" t="s">
        <v>135</v>
      </c>
      <c r="C614" s="77">
        <v>25151.71</v>
      </c>
      <c r="D614" s="77">
        <v>24942.77</v>
      </c>
      <c r="E614" s="77">
        <v>24965.62</v>
      </c>
      <c r="F614" s="77">
        <v>24891.62</v>
      </c>
      <c r="G614" s="77">
        <v>24983.4</v>
      </c>
      <c r="H614" s="77">
        <v>24960.37</v>
      </c>
      <c r="I614" s="77">
        <v>24899.9</v>
      </c>
      <c r="J614" s="77">
        <v>24870.52</v>
      </c>
      <c r="K614" s="77">
        <v>24890.49</v>
      </c>
      <c r="L614" s="99"/>
      <c r="M614" s="99"/>
      <c r="N614" s="99"/>
      <c r="O614" s="99"/>
      <c r="P614" s="99"/>
      <c r="Q614" s="100"/>
      <c r="R614" s="101"/>
      <c r="T614" s="97">
        <v>9000</v>
      </c>
      <c r="U614" s="77">
        <v>8090</v>
      </c>
      <c r="V614" s="77">
        <v>12070</v>
      </c>
    </row>
    <row r="615" spans="1:23" ht="15.75" thickBot="1">
      <c r="A615" s="108"/>
      <c r="B615" s="22" t="s">
        <v>136</v>
      </c>
      <c r="C615" s="23">
        <f t="shared" ref="C615:K615" si="201">IF(((C613="")*AND(C614="")),"",(C613-C614)*3)</f>
        <v>12157.169999999998</v>
      </c>
      <c r="D615" s="23">
        <f t="shared" si="201"/>
        <v>12542.04</v>
      </c>
      <c r="E615" s="23">
        <f t="shared" si="201"/>
        <v>12458.850000000002</v>
      </c>
      <c r="F615" s="23">
        <f t="shared" si="201"/>
        <v>12663.990000000005</v>
      </c>
      <c r="G615" s="23">
        <f t="shared" si="201"/>
        <v>12628.55999999999</v>
      </c>
      <c r="H615" s="23">
        <f t="shared" si="201"/>
        <v>12720.27</v>
      </c>
      <c r="I615" s="23">
        <f t="shared" si="201"/>
        <v>12628.109999999997</v>
      </c>
      <c r="J615" s="23">
        <f t="shared" si="201"/>
        <v>12717.449999999993</v>
      </c>
      <c r="K615" s="23">
        <f t="shared" si="201"/>
        <v>12891.149999999998</v>
      </c>
      <c r="L615" s="103"/>
      <c r="M615" s="103"/>
      <c r="N615" s="103"/>
      <c r="O615" s="103"/>
      <c r="P615" s="103"/>
      <c r="Q615" s="104"/>
      <c r="R615" s="105"/>
    </row>
    <row r="616" spans="1:23">
      <c r="A616" s="110">
        <v>43372</v>
      </c>
      <c r="B616" s="21" t="s">
        <v>133</v>
      </c>
      <c r="C616" s="77">
        <v>29183.83</v>
      </c>
      <c r="D616" s="77">
        <v>29101.88</v>
      </c>
      <c r="E616" s="77">
        <v>29094.14</v>
      </c>
      <c r="F616" s="77">
        <v>29079.75</v>
      </c>
      <c r="G616" s="77">
        <v>29154.26</v>
      </c>
      <c r="H616" s="77">
        <v>29145.21</v>
      </c>
      <c r="I616" s="77">
        <v>29081.43</v>
      </c>
      <c r="J616" s="77">
        <v>29087.78</v>
      </c>
      <c r="K616" s="77">
        <v>29186.48</v>
      </c>
      <c r="L616" s="24">
        <f>IF((K617=""),"",MAX(C618:K618))</f>
        <v>11974.589999999997</v>
      </c>
      <c r="M616" s="30">
        <f>IF(K617="","",MIN(C618:K618))</f>
        <v>11545.830000000002</v>
      </c>
      <c r="N616" s="24">
        <f>IF((K618=""),"",AVERAGE(C618:K618))</f>
        <v>11815.119999999999</v>
      </c>
      <c r="O616" s="24">
        <f>IF((K617=""),"",STDEV(C618:K618))</f>
        <v>145.3120925801216</v>
      </c>
      <c r="P616" s="24">
        <f>IF((K617=""),"",O616/N616*100)</f>
        <v>1.2298824944657492</v>
      </c>
      <c r="Q616" s="26" t="str">
        <f>IF(K617="","",IF(P616&lt;15,IF(M616&gt;10000,IF(N616&lt;15600,"Pass","Fail"),"Fail"),"Fail"))</f>
        <v>Pass</v>
      </c>
      <c r="R616" s="118">
        <v>1335</v>
      </c>
      <c r="T616" s="97">
        <v>10000</v>
      </c>
      <c r="U616" s="77">
        <v>8090</v>
      </c>
      <c r="V616" s="77">
        <v>12070</v>
      </c>
      <c r="W616" s="77">
        <v>6</v>
      </c>
    </row>
    <row r="617" spans="1:23">
      <c r="A617" s="107"/>
      <c r="B617" s="21" t="s">
        <v>135</v>
      </c>
      <c r="C617" s="77">
        <v>25335.22</v>
      </c>
      <c r="D617" s="77">
        <v>25182.91</v>
      </c>
      <c r="E617" s="77">
        <v>25216.93</v>
      </c>
      <c r="F617" s="77">
        <v>25117.29</v>
      </c>
      <c r="G617" s="77">
        <v>25175.53</v>
      </c>
      <c r="H617" s="77">
        <v>25195.439999999999</v>
      </c>
      <c r="I617" s="77">
        <v>25139.360000000001</v>
      </c>
      <c r="J617" s="77">
        <v>25111.77</v>
      </c>
      <c r="K617" s="77">
        <v>25194.95</v>
      </c>
      <c r="L617" s="99"/>
      <c r="M617" s="99"/>
      <c r="N617" s="99"/>
      <c r="O617" s="99"/>
      <c r="P617" s="99"/>
      <c r="Q617" s="100"/>
      <c r="R617" s="101"/>
      <c r="T617" s="97">
        <v>9000</v>
      </c>
      <c r="U617" s="77">
        <v>8090</v>
      </c>
      <c r="V617" s="77">
        <v>12070</v>
      </c>
    </row>
    <row r="618" spans="1:23" ht="15.75" thickBot="1">
      <c r="A618" s="108"/>
      <c r="B618" s="22" t="s">
        <v>136</v>
      </c>
      <c r="C618" s="23">
        <f t="shared" ref="C618:K618" si="202">IF(((C616="")*AND(C617="")),"",(C616-C617)*3)</f>
        <v>11545.830000000002</v>
      </c>
      <c r="D618" s="23">
        <f t="shared" si="202"/>
        <v>11756.910000000003</v>
      </c>
      <c r="E618" s="23">
        <f t="shared" si="202"/>
        <v>11631.629999999997</v>
      </c>
      <c r="F618" s="23">
        <f t="shared" si="202"/>
        <v>11887.379999999997</v>
      </c>
      <c r="G618" s="23">
        <f t="shared" si="202"/>
        <v>11936.189999999999</v>
      </c>
      <c r="H618" s="23">
        <f t="shared" si="202"/>
        <v>11849.310000000001</v>
      </c>
      <c r="I618" s="23">
        <f t="shared" si="202"/>
        <v>11826.21</v>
      </c>
      <c r="J618" s="23">
        <f t="shared" si="202"/>
        <v>11928.029999999995</v>
      </c>
      <c r="K618" s="23">
        <f t="shared" si="202"/>
        <v>11974.589999999997</v>
      </c>
      <c r="L618" s="103"/>
      <c r="M618" s="103"/>
      <c r="N618" s="103"/>
      <c r="O618" s="103"/>
      <c r="P618" s="103"/>
      <c r="Q618" s="104"/>
      <c r="R618" s="105"/>
    </row>
    <row r="619" spans="1:23">
      <c r="A619" s="110">
        <v>43376</v>
      </c>
      <c r="B619" s="21" t="s">
        <v>133</v>
      </c>
      <c r="C619" s="77">
        <v>29146.65</v>
      </c>
      <c r="D619" s="77">
        <v>29087.19</v>
      </c>
      <c r="E619" s="77">
        <v>29095.79</v>
      </c>
      <c r="F619" s="77">
        <v>29068.87</v>
      </c>
      <c r="G619" s="77">
        <v>29138.09</v>
      </c>
      <c r="H619" s="77">
        <v>29134.400000000001</v>
      </c>
      <c r="I619" s="77">
        <v>29068.06</v>
      </c>
      <c r="J619" s="77">
        <v>29076.01</v>
      </c>
      <c r="K619" s="77">
        <v>29128.560000000001</v>
      </c>
      <c r="L619" s="24">
        <f>IF((K620=""),"",MAX(C621:K621))</f>
        <v>11674.860000000008</v>
      </c>
      <c r="M619" s="30">
        <f>IF(K620="","",MIN(C621:K621))</f>
        <v>11271.630000000008</v>
      </c>
      <c r="N619" s="24">
        <f>IF((K621=""),"",AVERAGE(C621:K621))</f>
        <v>11508.256666666672</v>
      </c>
      <c r="O619" s="24">
        <f>IF((K620=""),"",STDEV(C621:K621))</f>
        <v>136.92954648269023</v>
      </c>
      <c r="P619" s="24">
        <f>IF((K620=""),"",O619/N619*100)</f>
        <v>1.1898374397514322</v>
      </c>
      <c r="Q619" s="26" t="str">
        <f>IF(K620="","",IF(P619&lt;15,IF(M619&gt;10000,IF(N619&lt;15600,"Pass","Fail"),"Fail"),"Fail"))</f>
        <v>Pass</v>
      </c>
      <c r="R619" s="118">
        <v>74</v>
      </c>
      <c r="T619" s="97">
        <v>10000</v>
      </c>
      <c r="U619" s="77">
        <v>8090</v>
      </c>
      <c r="V619" s="77">
        <v>12070</v>
      </c>
      <c r="W619" s="77">
        <v>6</v>
      </c>
    </row>
    <row r="620" spans="1:23">
      <c r="A620" s="107"/>
      <c r="B620" s="21" t="s">
        <v>135</v>
      </c>
      <c r="C620" s="77">
        <v>25389.439999999999</v>
      </c>
      <c r="D620" s="77">
        <v>25266.09</v>
      </c>
      <c r="E620" s="77">
        <v>25325.21</v>
      </c>
      <c r="F620" s="77">
        <v>25215.360000000001</v>
      </c>
      <c r="G620" s="77">
        <v>25286.92</v>
      </c>
      <c r="H620" s="77">
        <v>25242.78</v>
      </c>
      <c r="I620" s="77">
        <v>25222.23</v>
      </c>
      <c r="J620" s="77">
        <v>25221.85</v>
      </c>
      <c r="K620" s="77">
        <v>25248.97</v>
      </c>
      <c r="L620" s="99"/>
      <c r="M620" s="99"/>
      <c r="N620" s="99"/>
      <c r="O620" s="99"/>
      <c r="P620" s="99"/>
      <c r="Q620" s="100"/>
      <c r="R620" s="101"/>
      <c r="T620" s="97">
        <v>9000</v>
      </c>
      <c r="U620" s="77">
        <v>8090</v>
      </c>
      <c r="V620" s="77">
        <v>12070</v>
      </c>
    </row>
    <row r="621" spans="1:23" ht="15.75" thickBot="1">
      <c r="A621" s="108"/>
      <c r="B621" s="22" t="s">
        <v>136</v>
      </c>
      <c r="C621" s="23">
        <f t="shared" ref="C621:K621" si="203">IF(((C619="")*AND(C620="")),"",(C619-C620)*3)</f>
        <v>11271.630000000008</v>
      </c>
      <c r="D621" s="23">
        <f t="shared" si="203"/>
        <v>11463.299999999996</v>
      </c>
      <c r="E621" s="23">
        <f t="shared" si="203"/>
        <v>11311.740000000005</v>
      </c>
      <c r="F621" s="23">
        <f t="shared" si="203"/>
        <v>11560.529999999995</v>
      </c>
      <c r="G621" s="23">
        <f t="shared" si="203"/>
        <v>11553.510000000006</v>
      </c>
      <c r="H621" s="23">
        <f t="shared" si="203"/>
        <v>11674.860000000008</v>
      </c>
      <c r="I621" s="23">
        <f t="shared" si="203"/>
        <v>11537.490000000005</v>
      </c>
      <c r="J621" s="23">
        <f t="shared" si="203"/>
        <v>11562.48</v>
      </c>
      <c r="K621" s="23">
        <f t="shared" si="203"/>
        <v>11638.77</v>
      </c>
      <c r="L621" s="103"/>
      <c r="M621" s="103"/>
      <c r="N621" s="103"/>
      <c r="O621" s="103"/>
      <c r="P621" s="103"/>
      <c r="Q621" s="104"/>
      <c r="R621" s="105"/>
    </row>
    <row r="622" spans="1:23">
      <c r="A622" s="110">
        <v>43381</v>
      </c>
      <c r="B622" s="21" t="s">
        <v>133</v>
      </c>
      <c r="C622" s="77">
        <v>29018.42</v>
      </c>
      <c r="D622" s="77">
        <v>28936.92</v>
      </c>
      <c r="E622" s="77">
        <v>29007.759999999998</v>
      </c>
      <c r="F622" s="77">
        <v>28935.39</v>
      </c>
      <c r="G622" s="77">
        <v>28958.65</v>
      </c>
      <c r="H622" s="77">
        <v>28963.29</v>
      </c>
      <c r="I622" s="77">
        <v>28923.81</v>
      </c>
      <c r="J622" s="77">
        <v>28936.86</v>
      </c>
      <c r="K622" s="77">
        <v>29019.18</v>
      </c>
      <c r="L622" s="24">
        <f>IF((K623=""),"",MAX(C624:K624))</f>
        <v>11136.75</v>
      </c>
      <c r="M622" s="30">
        <f>IF(K623="","",MIN(C624:K624))</f>
        <v>10563.96</v>
      </c>
      <c r="N622" s="24">
        <f>IF((K624=""),"",AVERAGE(C624:K624))</f>
        <v>10921.303333333331</v>
      </c>
      <c r="O622" s="24">
        <f>IF((K623=""),"",STDEV(C624:K624))</f>
        <v>186.84847109365347</v>
      </c>
      <c r="P622" s="24">
        <f>IF((K623=""),"",O622/N622*100)</f>
        <v>1.7108623887715491</v>
      </c>
      <c r="Q622" s="26" t="str">
        <f>IF(K623="","",IF(P622&lt;15,IF(M622&gt;10000,IF(N622&lt;15600,"Pass","Fail"),"Fail"),"Fail"))</f>
        <v>Pass</v>
      </c>
      <c r="R622" s="118">
        <v>1335</v>
      </c>
      <c r="S622" s="77" t="s">
        <v>254</v>
      </c>
      <c r="T622" s="97">
        <v>10000</v>
      </c>
      <c r="U622" s="77">
        <v>8090</v>
      </c>
      <c r="V622" s="77">
        <v>12070</v>
      </c>
      <c r="W622" s="77">
        <v>6</v>
      </c>
    </row>
    <row r="623" spans="1:23">
      <c r="A623" s="107"/>
      <c r="B623" s="21" t="s">
        <v>135</v>
      </c>
      <c r="C623" s="77">
        <v>25497.1</v>
      </c>
      <c r="D623" s="77">
        <v>25346.75</v>
      </c>
      <c r="E623" s="77">
        <v>25413.29</v>
      </c>
      <c r="F623" s="77">
        <v>25269.09</v>
      </c>
      <c r="G623" s="77">
        <v>25248.39</v>
      </c>
      <c r="H623" s="77">
        <v>25293.759999999998</v>
      </c>
      <c r="I623" s="77">
        <v>25289.52</v>
      </c>
      <c r="J623" s="77">
        <v>25271.54</v>
      </c>
      <c r="K623" s="77">
        <v>25306.93</v>
      </c>
      <c r="L623" s="99"/>
      <c r="M623" s="99"/>
      <c r="N623" s="99"/>
      <c r="O623" s="99"/>
      <c r="P623" s="99"/>
      <c r="Q623" s="100"/>
      <c r="R623" s="101"/>
      <c r="T623" s="97">
        <v>9000</v>
      </c>
      <c r="U623" s="77">
        <v>8090</v>
      </c>
      <c r="V623" s="77">
        <v>12070</v>
      </c>
    </row>
    <row r="624" spans="1:23" ht="15.75" thickBot="1">
      <c r="A624" s="108"/>
      <c r="B624" s="22" t="s">
        <v>136</v>
      </c>
      <c r="C624" s="23">
        <f t="shared" ref="C624:K624" si="204">IF(((C622="")*AND(C623="")),"",(C622-C623)*3)</f>
        <v>10563.96</v>
      </c>
      <c r="D624" s="23">
        <f t="shared" si="204"/>
        <v>10770.509999999995</v>
      </c>
      <c r="E624" s="23">
        <f t="shared" si="204"/>
        <v>10783.409999999993</v>
      </c>
      <c r="F624" s="23">
        <f t="shared" si="204"/>
        <v>10998.899999999998</v>
      </c>
      <c r="G624" s="23">
        <f t="shared" si="204"/>
        <v>11130.780000000006</v>
      </c>
      <c r="H624" s="23">
        <f t="shared" si="204"/>
        <v>11008.590000000007</v>
      </c>
      <c r="I624" s="23">
        <f t="shared" si="204"/>
        <v>10902.870000000003</v>
      </c>
      <c r="J624" s="23">
        <f t="shared" si="204"/>
        <v>10995.96</v>
      </c>
      <c r="K624" s="23">
        <f t="shared" si="204"/>
        <v>11136.75</v>
      </c>
      <c r="L624" s="103"/>
      <c r="M624" s="103"/>
      <c r="N624" s="103"/>
      <c r="O624" s="103"/>
      <c r="P624" s="103"/>
      <c r="Q624" s="104"/>
      <c r="R624" s="105"/>
    </row>
    <row r="625" spans="1:23">
      <c r="A625" s="110">
        <v>43385</v>
      </c>
      <c r="B625" s="21" t="s">
        <v>133</v>
      </c>
      <c r="C625" s="77">
        <v>29018.42</v>
      </c>
      <c r="D625" s="77">
        <v>28936.92</v>
      </c>
      <c r="E625" s="77">
        <v>29007.759999999998</v>
      </c>
      <c r="F625" s="77">
        <v>28935.39</v>
      </c>
      <c r="G625" s="77">
        <v>28958.65</v>
      </c>
      <c r="H625" s="77">
        <v>28963.29</v>
      </c>
      <c r="I625" s="77">
        <v>28923.81</v>
      </c>
      <c r="J625" s="77">
        <v>28936.86</v>
      </c>
      <c r="K625" s="77">
        <v>29019.18</v>
      </c>
      <c r="L625" s="24">
        <f>IF((K626=""),"",MAX(C627:K627))</f>
        <v>16255.350000000002</v>
      </c>
      <c r="M625" s="30">
        <f>IF(K626="","",MIN(C627:K627))</f>
        <v>10397.099999999991</v>
      </c>
      <c r="N625" s="24">
        <f>IF((K627=""),"",AVERAGE(C627:K627))</f>
        <v>12371.619999999999</v>
      </c>
      <c r="O625" s="24">
        <f>IF((K626=""),"",STDEV(C627:K627))</f>
        <v>1626.9868972044515</v>
      </c>
      <c r="P625" s="24">
        <f>IF((K626=""),"",O625/N625*100)</f>
        <v>13.150960805492339</v>
      </c>
      <c r="Q625" s="26" t="str">
        <f>IF(K626="","",IF(P625&lt;15,IF(M625&gt;10000,IF(N625&lt;15600,"Pass","Fail"),"Fail"),"Fail"))</f>
        <v>Pass</v>
      </c>
      <c r="R625" s="118">
        <v>1335</v>
      </c>
      <c r="T625" s="97">
        <v>10000</v>
      </c>
      <c r="U625" s="77">
        <v>8090</v>
      </c>
      <c r="V625" s="77">
        <v>12070</v>
      </c>
      <c r="W625" s="77">
        <v>6</v>
      </c>
    </row>
    <row r="626" spans="1:23">
      <c r="A626" s="107"/>
      <c r="B626" s="21" t="s">
        <v>135</v>
      </c>
      <c r="C626" s="77">
        <v>25135.13</v>
      </c>
      <c r="D626" s="77">
        <v>24658.99</v>
      </c>
      <c r="E626" s="77">
        <v>25542.06</v>
      </c>
      <c r="F626" s="77">
        <v>25130.05</v>
      </c>
      <c r="G626" s="77">
        <v>24931.64</v>
      </c>
      <c r="H626" s="77">
        <v>24781.72</v>
      </c>
      <c r="I626" s="77">
        <v>25017.66</v>
      </c>
      <c r="J626" s="77">
        <v>24787.439999999999</v>
      </c>
      <c r="K626" s="77">
        <v>23600.73</v>
      </c>
      <c r="L626" s="99"/>
      <c r="M626" s="99"/>
      <c r="N626" s="99"/>
      <c r="O626" s="99"/>
      <c r="P626" s="99"/>
      <c r="Q626" s="100"/>
      <c r="R626" s="101"/>
      <c r="T626" s="97">
        <v>9000</v>
      </c>
      <c r="U626" s="77">
        <v>8090</v>
      </c>
      <c r="V626" s="77">
        <v>12070</v>
      </c>
    </row>
    <row r="627" spans="1:23" ht="15.75" thickBot="1">
      <c r="A627" s="108"/>
      <c r="B627" s="22" t="s">
        <v>136</v>
      </c>
      <c r="C627" s="23">
        <f t="shared" ref="C627:K627" si="205">IF(((C625="")*AND(C626="")),"",(C625-C626)*3)</f>
        <v>11649.869999999992</v>
      </c>
      <c r="D627" s="23">
        <f t="shared" si="205"/>
        <v>12833.78999999999</v>
      </c>
      <c r="E627" s="23">
        <f t="shared" si="205"/>
        <v>10397.099999999991</v>
      </c>
      <c r="F627" s="23">
        <f t="shared" si="205"/>
        <v>11416.02</v>
      </c>
      <c r="G627" s="23">
        <f t="shared" si="205"/>
        <v>12081.030000000006</v>
      </c>
      <c r="H627" s="23">
        <f t="shared" si="205"/>
        <v>12544.71</v>
      </c>
      <c r="I627" s="23">
        <f t="shared" si="205"/>
        <v>11718.450000000004</v>
      </c>
      <c r="J627" s="23">
        <f t="shared" si="205"/>
        <v>12448.260000000006</v>
      </c>
      <c r="K627" s="23">
        <f t="shared" si="205"/>
        <v>16255.350000000002</v>
      </c>
      <c r="L627" s="103"/>
      <c r="M627" s="103"/>
      <c r="N627" s="103"/>
      <c r="O627" s="103"/>
      <c r="P627" s="103"/>
      <c r="Q627" s="104"/>
      <c r="R627" s="105"/>
    </row>
    <row r="628" spans="1:23">
      <c r="A628" s="110">
        <v>43390</v>
      </c>
      <c r="B628" s="21" t="s">
        <v>133</v>
      </c>
      <c r="C628" s="77">
        <v>29111.16</v>
      </c>
      <c r="D628" s="77">
        <v>29014.35</v>
      </c>
      <c r="E628" s="77">
        <v>29027.52</v>
      </c>
      <c r="F628" s="77">
        <v>29014.28</v>
      </c>
      <c r="G628" s="77">
        <v>29067.71</v>
      </c>
      <c r="H628" s="77">
        <v>29061.9</v>
      </c>
      <c r="I628" s="77">
        <v>29006.27</v>
      </c>
      <c r="J628" s="77">
        <v>29018.68</v>
      </c>
      <c r="K628" s="77">
        <v>29102.23</v>
      </c>
      <c r="L628" s="24">
        <f>IF((K629=""),"",MAX(C630:K630))</f>
        <v>11931.149999999998</v>
      </c>
      <c r="M628" s="30">
        <f>IF(K629="","",MIN(C630:K630))</f>
        <v>10972.5</v>
      </c>
      <c r="N628" s="24">
        <f>IF((K630=""),"",AVERAGE(C630:K630))</f>
        <v>11537.213333333331</v>
      </c>
      <c r="O628" s="24">
        <f>IF((K629=""),"",STDEV(C630:K630))</f>
        <v>277.50528148128274</v>
      </c>
      <c r="P628" s="24">
        <f>IF((K629=""),"",O628/N628*100)</f>
        <v>2.4053059734928723</v>
      </c>
      <c r="Q628" s="26" t="str">
        <f>IF(K629="","",IF(P628&lt;15,IF(M628&gt;10000,IF(N628&lt;15600,"Pass","Fail"),"Fail"),"Fail"))</f>
        <v>Pass</v>
      </c>
      <c r="R628" s="118">
        <v>121</v>
      </c>
      <c r="S628" s="77" t="s">
        <v>255</v>
      </c>
      <c r="T628" s="97">
        <v>10000</v>
      </c>
      <c r="U628" s="77">
        <v>8090</v>
      </c>
      <c r="V628" s="77">
        <v>12070</v>
      </c>
      <c r="W628" s="77">
        <v>6</v>
      </c>
    </row>
    <row r="629" spans="1:23">
      <c r="A629" s="107"/>
      <c r="B629" s="21" t="s">
        <v>135</v>
      </c>
      <c r="C629" s="77">
        <v>25134.11</v>
      </c>
      <c r="D629" s="77">
        <v>25117.16</v>
      </c>
      <c r="E629" s="77">
        <v>25241.82</v>
      </c>
      <c r="F629" s="77">
        <v>25233.08</v>
      </c>
      <c r="G629" s="77">
        <v>25410.21</v>
      </c>
      <c r="H629" s="77">
        <v>25165.74</v>
      </c>
      <c r="I629" s="77">
        <v>25148.59</v>
      </c>
      <c r="J629" s="77">
        <v>25152.95</v>
      </c>
      <c r="K629" s="77">
        <v>25208.799999999999</v>
      </c>
      <c r="L629" s="99"/>
      <c r="M629" s="99"/>
      <c r="N629" s="99"/>
      <c r="O629" s="99"/>
      <c r="P629" s="99"/>
      <c r="Q629" s="100"/>
      <c r="R629" s="101"/>
      <c r="T629" s="97">
        <v>9000</v>
      </c>
      <c r="U629" s="77">
        <v>8090</v>
      </c>
      <c r="V629" s="77">
        <v>12070</v>
      </c>
    </row>
    <row r="630" spans="1:23" ht="15.75" thickBot="1">
      <c r="A630" s="108"/>
      <c r="B630" s="22" t="s">
        <v>136</v>
      </c>
      <c r="C630" s="23">
        <f t="shared" ref="C630:K630" si="206">IF(((C628="")*AND(C629="")),"",(C628-C629)*3)</f>
        <v>11931.149999999998</v>
      </c>
      <c r="D630" s="23">
        <f t="shared" si="206"/>
        <v>11691.569999999996</v>
      </c>
      <c r="E630" s="23">
        <f t="shared" si="206"/>
        <v>11357.100000000002</v>
      </c>
      <c r="F630" s="23">
        <f t="shared" si="206"/>
        <v>11343.599999999991</v>
      </c>
      <c r="G630" s="23">
        <f t="shared" si="206"/>
        <v>10972.5</v>
      </c>
      <c r="H630" s="23">
        <f t="shared" si="206"/>
        <v>11688.48</v>
      </c>
      <c r="I630" s="23">
        <f t="shared" si="206"/>
        <v>11573.04</v>
      </c>
      <c r="J630" s="23">
        <f t="shared" si="206"/>
        <v>11597.189999999999</v>
      </c>
      <c r="K630" s="23">
        <f t="shared" si="206"/>
        <v>11680.29</v>
      </c>
      <c r="L630" s="103"/>
      <c r="M630" s="103"/>
      <c r="N630" s="103"/>
      <c r="O630" s="103"/>
      <c r="P630" s="103"/>
      <c r="Q630" s="104"/>
      <c r="R630" s="105"/>
    </row>
    <row r="631" spans="1:23">
      <c r="A631" s="110">
        <v>43395</v>
      </c>
      <c r="B631" s="21" t="s">
        <v>133</v>
      </c>
      <c r="C631" s="77">
        <v>29063.5</v>
      </c>
      <c r="D631" s="77">
        <v>28993.919999999998</v>
      </c>
      <c r="E631" s="77">
        <v>28996.11</v>
      </c>
      <c r="F631" s="77">
        <v>28982.959999999999</v>
      </c>
      <c r="G631" s="77">
        <v>29047.93</v>
      </c>
      <c r="H631" s="77">
        <v>29036.06</v>
      </c>
      <c r="I631" s="77">
        <v>28995.41</v>
      </c>
      <c r="J631" s="77">
        <v>28985.26</v>
      </c>
      <c r="K631" s="77">
        <v>29051.55</v>
      </c>
      <c r="L631" s="24">
        <f>IF((K632=""),"",MAX(C633:K633))</f>
        <v>11082</v>
      </c>
      <c r="M631" s="30">
        <f>IF(K632="","",MIN(C633:K633))</f>
        <v>10495.740000000005</v>
      </c>
      <c r="N631" s="24">
        <f>IF((K633=""),"",AVERAGE(C633:K633))</f>
        <v>10861.693333333333</v>
      </c>
      <c r="O631" s="24">
        <f>IF((K632=""),"",STDEV(C633:K633))</f>
        <v>172.19110110575122</v>
      </c>
      <c r="P631" s="24">
        <f>IF((K632=""),"",O631/N631*100)</f>
        <v>1.5853062300821532</v>
      </c>
      <c r="Q631" s="26" t="str">
        <f>IF(K632="","",IF(P631&lt;15,IF(M631&gt;10000,IF(N631&lt;15600,"Pass","Fail"),"Fail"),"Fail"))</f>
        <v>Pass</v>
      </c>
      <c r="R631" s="118">
        <v>1335</v>
      </c>
      <c r="S631" s="77" t="s">
        <v>256</v>
      </c>
      <c r="T631" s="97">
        <v>10000</v>
      </c>
      <c r="U631" s="77">
        <v>8090</v>
      </c>
      <c r="V631" s="77">
        <v>12070</v>
      </c>
      <c r="W631" s="77">
        <v>6</v>
      </c>
    </row>
    <row r="632" spans="1:23">
      <c r="A632" s="107"/>
      <c r="B632" s="21" t="s">
        <v>135</v>
      </c>
      <c r="C632" s="77">
        <v>25564.92</v>
      </c>
      <c r="D632" s="77">
        <v>25384.29</v>
      </c>
      <c r="E632" s="77">
        <v>25431.03</v>
      </c>
      <c r="F632" s="77">
        <v>25344.25</v>
      </c>
      <c r="G632" s="77">
        <v>25353.93</v>
      </c>
      <c r="H632" s="77">
        <v>25387.49</v>
      </c>
      <c r="I632" s="77">
        <v>25362.62</v>
      </c>
      <c r="J632" s="77">
        <v>25339.56</v>
      </c>
      <c r="K632" s="77">
        <v>25399.53</v>
      </c>
      <c r="L632" s="99"/>
      <c r="M632" s="99"/>
      <c r="N632" s="99"/>
      <c r="O632" s="99"/>
      <c r="P632" s="99"/>
      <c r="Q632" s="100"/>
      <c r="R632" s="101"/>
      <c r="T632" s="97">
        <v>9000</v>
      </c>
      <c r="U632" s="77">
        <v>8090</v>
      </c>
      <c r="V632" s="77">
        <v>12070</v>
      </c>
    </row>
    <row r="633" spans="1:23" ht="15.75" thickBot="1">
      <c r="A633" s="108"/>
      <c r="B633" s="22" t="s">
        <v>136</v>
      </c>
      <c r="C633" s="23">
        <f t="shared" ref="C633:K633" si="207">IF(((C631="")*AND(C632="")),"",(C631-C632)*3)</f>
        <v>10495.740000000005</v>
      </c>
      <c r="D633" s="23">
        <f t="shared" si="207"/>
        <v>10828.889999999992</v>
      </c>
      <c r="E633" s="23">
        <f t="shared" si="207"/>
        <v>10695.240000000005</v>
      </c>
      <c r="F633" s="23">
        <f t="shared" si="207"/>
        <v>10916.129999999997</v>
      </c>
      <c r="G633" s="23">
        <f t="shared" si="207"/>
        <v>11082</v>
      </c>
      <c r="H633" s="23">
        <f t="shared" si="207"/>
        <v>10945.71</v>
      </c>
      <c r="I633" s="23">
        <f t="shared" si="207"/>
        <v>10898.370000000003</v>
      </c>
      <c r="J633" s="23">
        <f t="shared" si="207"/>
        <v>10937.099999999991</v>
      </c>
      <c r="K633" s="23">
        <f t="shared" si="207"/>
        <v>10956.060000000001</v>
      </c>
      <c r="L633" s="103"/>
      <c r="M633" s="103"/>
      <c r="N633" s="103"/>
      <c r="O633" s="103"/>
      <c r="P633" s="103"/>
      <c r="Q633" s="104"/>
      <c r="R633" s="105"/>
    </row>
    <row r="634" spans="1:23">
      <c r="A634" s="110">
        <v>43399</v>
      </c>
      <c r="B634" s="21" t="s">
        <v>133</v>
      </c>
      <c r="C634" s="77">
        <v>29006.78</v>
      </c>
      <c r="D634" s="77">
        <v>28915.24</v>
      </c>
      <c r="E634" s="77">
        <v>28914.240000000002</v>
      </c>
      <c r="F634" s="77">
        <v>28908.880000000001</v>
      </c>
      <c r="G634" s="77">
        <v>29007.18</v>
      </c>
      <c r="H634" s="77">
        <v>29003.22</v>
      </c>
      <c r="I634" s="77">
        <v>28920.11</v>
      </c>
      <c r="J634" s="77">
        <v>28910.41</v>
      </c>
      <c r="K634" s="77">
        <v>28992.560000000001</v>
      </c>
      <c r="L634" s="24">
        <f>IF((K635=""),"",MAX(C636:K636))</f>
        <v>11058.660000000003</v>
      </c>
      <c r="M634" s="30">
        <f>IF(K635="","",MIN(C636:K636))</f>
        <v>10107.449999999993</v>
      </c>
      <c r="N634" s="24">
        <f>IF((K636=""),"",AVERAGE(C636:K636))</f>
        <v>10731.826666666668</v>
      </c>
      <c r="O634" s="24">
        <f>IF((K635=""),"",STDEV(C636:K636))</f>
        <v>290.54667206834318</v>
      </c>
      <c r="P634" s="24">
        <f>IF((K635=""),"",O634/N634*100)</f>
        <v>2.7073366081357677</v>
      </c>
      <c r="Q634" s="26" t="str">
        <f>IF(K635="","",IF(P634&lt;15,IF(M634&gt;10000,IF(N634&lt;15600,"Pass","Fail"),"Fail"),"Fail"))</f>
        <v>Pass</v>
      </c>
      <c r="R634" s="118">
        <v>1159</v>
      </c>
      <c r="S634" s="77" t="s">
        <v>257</v>
      </c>
      <c r="T634" s="97">
        <v>10000</v>
      </c>
      <c r="U634" s="77">
        <v>8090</v>
      </c>
      <c r="V634" s="77">
        <v>12070</v>
      </c>
      <c r="W634" s="77">
        <v>6</v>
      </c>
    </row>
    <row r="635" spans="1:23">
      <c r="A635" s="107"/>
      <c r="B635" s="21" t="s">
        <v>135</v>
      </c>
      <c r="C635" s="77">
        <v>25637.63</v>
      </c>
      <c r="D635" s="77">
        <v>25389.03</v>
      </c>
      <c r="E635" s="77">
        <v>25369.39</v>
      </c>
      <c r="F635" s="77">
        <v>25281.96</v>
      </c>
      <c r="G635" s="77">
        <v>25331.22</v>
      </c>
      <c r="H635" s="77">
        <v>25317</v>
      </c>
      <c r="I635" s="77">
        <v>25283.56</v>
      </c>
      <c r="J635" s="77">
        <v>25336.49</v>
      </c>
      <c r="K635" s="77">
        <v>25436.86</v>
      </c>
      <c r="L635" s="99"/>
      <c r="M635" s="99"/>
      <c r="N635" s="99"/>
      <c r="O635" s="99"/>
      <c r="P635" s="99"/>
      <c r="Q635" s="100"/>
      <c r="R635" s="101"/>
      <c r="T635" s="97">
        <v>9000</v>
      </c>
      <c r="U635" s="77">
        <v>8090</v>
      </c>
      <c r="V635" s="77">
        <v>12070</v>
      </c>
    </row>
    <row r="636" spans="1:23" ht="15.75" thickBot="1">
      <c r="A636" s="108"/>
      <c r="B636" s="22" t="s">
        <v>136</v>
      </c>
      <c r="C636" s="23">
        <f t="shared" ref="C636:K636" si="208">IF(((C634="")*AND(C635="")),"",(C634-C635)*3)</f>
        <v>10107.449999999993</v>
      </c>
      <c r="D636" s="23">
        <f t="shared" si="208"/>
        <v>10578.630000000008</v>
      </c>
      <c r="E636" s="23">
        <f t="shared" si="208"/>
        <v>10634.550000000007</v>
      </c>
      <c r="F636" s="23">
        <f t="shared" si="208"/>
        <v>10880.760000000006</v>
      </c>
      <c r="G636" s="23">
        <f t="shared" si="208"/>
        <v>11027.879999999997</v>
      </c>
      <c r="H636" s="23">
        <f t="shared" si="208"/>
        <v>11058.660000000003</v>
      </c>
      <c r="I636" s="23">
        <f t="shared" si="208"/>
        <v>10909.649999999998</v>
      </c>
      <c r="J636" s="23">
        <f t="shared" si="208"/>
        <v>10721.759999999995</v>
      </c>
      <c r="K636" s="23">
        <f t="shared" si="208"/>
        <v>10667.100000000002</v>
      </c>
      <c r="L636" s="103"/>
      <c r="M636" s="103"/>
      <c r="N636" s="103"/>
      <c r="O636" s="103"/>
      <c r="P636" s="103"/>
      <c r="Q636" s="104"/>
      <c r="R636" s="105"/>
    </row>
    <row r="637" spans="1:23">
      <c r="A637" s="110">
        <v>43403</v>
      </c>
      <c r="B637" s="21" t="s">
        <v>133</v>
      </c>
      <c r="C637" s="77">
        <v>28942.94</v>
      </c>
      <c r="D637" s="77">
        <v>28894.01</v>
      </c>
      <c r="E637" s="77">
        <v>28896.01</v>
      </c>
      <c r="F637" s="77">
        <v>28897.29</v>
      </c>
      <c r="G637" s="77">
        <v>28972.16</v>
      </c>
      <c r="H637" s="77">
        <v>28981.599999999999</v>
      </c>
      <c r="I637" s="77">
        <v>28897.03</v>
      </c>
      <c r="J637" s="77">
        <v>28893.27</v>
      </c>
      <c r="K637" s="77">
        <v>28978.38</v>
      </c>
      <c r="L637" s="24">
        <f>IF((K638=""),"",MAX(C639:K639))</f>
        <v>11842.649999999998</v>
      </c>
      <c r="M637" s="30">
        <f>IF(K638="","",MIN(C639:K639))</f>
        <v>11236.439999999999</v>
      </c>
      <c r="N637" s="24">
        <f>IF((K639=""),"",AVERAGE(C639:K639))</f>
        <v>11633.579999999996</v>
      </c>
      <c r="O637" s="24">
        <f>IF((K638=""),"",STDEV(C639:K639))</f>
        <v>192.59914544224864</v>
      </c>
      <c r="P637" s="24">
        <f>IF((K638=""),"",O637/N637*100)</f>
        <v>1.6555449435362863</v>
      </c>
      <c r="Q637" s="26" t="str">
        <f>IF(K638="","",IF(P637&lt;15,IF(M637&gt;10000,IF(N637&lt;15600,"Pass","Fail"),"Fail"),"Fail"))</f>
        <v>Pass</v>
      </c>
      <c r="R637" s="118">
        <v>64</v>
      </c>
      <c r="S637" s="77" t="s">
        <v>258</v>
      </c>
      <c r="T637" s="97">
        <v>10000</v>
      </c>
      <c r="U637" s="77">
        <v>8090</v>
      </c>
      <c r="V637" s="77">
        <v>12070</v>
      </c>
      <c r="W637" s="77">
        <v>6</v>
      </c>
    </row>
    <row r="638" spans="1:23">
      <c r="A638" s="107"/>
      <c r="B638" s="21" t="s">
        <v>135</v>
      </c>
      <c r="C638" s="77">
        <v>24995.39</v>
      </c>
      <c r="D638" s="77">
        <v>24976.63</v>
      </c>
      <c r="E638" s="77">
        <v>25078.85</v>
      </c>
      <c r="F638" s="77">
        <v>25051.93</v>
      </c>
      <c r="G638" s="77">
        <v>25226.68</v>
      </c>
      <c r="H638" s="77">
        <v>25088.39</v>
      </c>
      <c r="I638" s="77">
        <v>25005.87</v>
      </c>
      <c r="J638" s="77">
        <v>24975.37</v>
      </c>
      <c r="K638" s="77">
        <v>25052.84</v>
      </c>
      <c r="L638" s="99"/>
      <c r="M638" s="99"/>
      <c r="N638" s="99"/>
      <c r="O638" s="99"/>
      <c r="P638" s="99"/>
      <c r="Q638" s="100"/>
      <c r="R638" s="101"/>
      <c r="T638" s="97">
        <v>9000</v>
      </c>
      <c r="U638" s="77">
        <v>8090</v>
      </c>
      <c r="V638" s="77">
        <v>12070</v>
      </c>
    </row>
    <row r="639" spans="1:23" ht="15.75" thickBot="1">
      <c r="A639" s="108"/>
      <c r="B639" s="22" t="s">
        <v>136</v>
      </c>
      <c r="C639" s="23">
        <f t="shared" ref="C639:K639" si="209">IF(((C637="")*AND(C638="")),"",(C637-C638)*3)</f>
        <v>11842.649999999998</v>
      </c>
      <c r="D639" s="23">
        <f t="shared" si="209"/>
        <v>11752.139999999992</v>
      </c>
      <c r="E639" s="23">
        <f t="shared" si="209"/>
        <v>11451.48</v>
      </c>
      <c r="F639" s="23">
        <f t="shared" si="209"/>
        <v>11536.080000000002</v>
      </c>
      <c r="G639" s="23">
        <f t="shared" si="209"/>
        <v>11236.439999999999</v>
      </c>
      <c r="H639" s="23">
        <f t="shared" si="209"/>
        <v>11679.629999999997</v>
      </c>
      <c r="I639" s="23">
        <f t="shared" si="209"/>
        <v>11673.48</v>
      </c>
      <c r="J639" s="23">
        <f t="shared" si="209"/>
        <v>11753.700000000004</v>
      </c>
      <c r="K639" s="23">
        <f t="shared" si="209"/>
        <v>11776.620000000003</v>
      </c>
      <c r="L639" s="103"/>
      <c r="M639" s="103"/>
      <c r="N639" s="103"/>
      <c r="O639" s="103"/>
      <c r="P639" s="103"/>
      <c r="Q639" s="104"/>
      <c r="R639" s="105"/>
    </row>
    <row r="640" spans="1:23">
      <c r="A640" s="110">
        <v>43409</v>
      </c>
      <c r="B640" s="21" t="s">
        <v>133</v>
      </c>
      <c r="C640" s="77">
        <v>28977.02</v>
      </c>
      <c r="D640" s="77">
        <v>28934.61</v>
      </c>
      <c r="E640" s="77">
        <v>28959.279999999999</v>
      </c>
      <c r="F640" s="77">
        <v>28938.57</v>
      </c>
      <c r="G640" s="77">
        <v>29004.880000000001</v>
      </c>
      <c r="H640" s="77">
        <v>29011.51</v>
      </c>
      <c r="I640" s="77">
        <v>28929</v>
      </c>
      <c r="J640" s="77">
        <v>28929.56</v>
      </c>
      <c r="K640" s="77">
        <v>28999.98</v>
      </c>
      <c r="L640" s="24">
        <f>IF((K641=""),"",MAX(C642:K642))</f>
        <v>11279.189999999999</v>
      </c>
      <c r="M640" s="30">
        <f>IF(K641="","",MIN(C642:K642))</f>
        <v>10624.589999999997</v>
      </c>
      <c r="N640" s="24">
        <f>IF((K642=""),"",AVERAGE(C642:K642))</f>
        <v>10996.626666666667</v>
      </c>
      <c r="O640" s="24">
        <f>IF((K641=""),"",STDEV(C642:K642))</f>
        <v>198.58974488884562</v>
      </c>
      <c r="P640" s="24">
        <f>IF((K641=""),"",O640/N640*100)</f>
        <v>1.8059151311448747</v>
      </c>
      <c r="Q640" s="26" t="str">
        <f>IF(K641="","",IF(P640&lt;15,IF(M640&gt;10000,IF(N640&lt;15600,"Pass","Fail"),"Fail"),"Fail"))</f>
        <v>Pass</v>
      </c>
      <c r="R640" s="118">
        <v>1335</v>
      </c>
      <c r="T640" s="97">
        <v>10000</v>
      </c>
      <c r="U640" s="77">
        <v>8090</v>
      </c>
      <c r="V640" s="77">
        <v>12070</v>
      </c>
      <c r="W640" s="77">
        <v>6</v>
      </c>
    </row>
    <row r="641" spans="1:23">
      <c r="A641" s="107"/>
      <c r="B641" s="21" t="s">
        <v>135</v>
      </c>
      <c r="C641" s="77">
        <v>25435.49</v>
      </c>
      <c r="D641" s="77">
        <v>25311.3</v>
      </c>
      <c r="E641" s="77">
        <v>25356.9</v>
      </c>
      <c r="F641" s="77">
        <v>25233.09</v>
      </c>
      <c r="G641" s="77">
        <v>25245.15</v>
      </c>
      <c r="H641" s="77">
        <v>25310.26</v>
      </c>
      <c r="I641" s="77">
        <v>25263.74</v>
      </c>
      <c r="J641" s="77">
        <v>25247.71</v>
      </c>
      <c r="K641" s="77">
        <v>25290.89</v>
      </c>
      <c r="L641" s="99"/>
      <c r="M641" s="99"/>
      <c r="N641" s="99"/>
      <c r="O641" s="99"/>
      <c r="P641" s="99"/>
      <c r="Q641" s="100"/>
      <c r="R641" s="101"/>
      <c r="T641" s="97">
        <v>9000</v>
      </c>
      <c r="U641" s="77">
        <v>8090</v>
      </c>
      <c r="V641" s="77">
        <v>12070</v>
      </c>
    </row>
    <row r="642" spans="1:23" ht="15.75" thickBot="1">
      <c r="A642" s="108"/>
      <c r="B642" s="22" t="s">
        <v>136</v>
      </c>
      <c r="C642" s="23">
        <f t="shared" ref="C642:K642" si="210">IF(((C640="")*AND(C641="")),"",(C640-C641)*3)</f>
        <v>10624.589999999997</v>
      </c>
      <c r="D642" s="23">
        <f t="shared" si="210"/>
        <v>10869.930000000004</v>
      </c>
      <c r="E642" s="23">
        <f t="shared" si="210"/>
        <v>10807.139999999992</v>
      </c>
      <c r="F642" s="23">
        <f t="shared" si="210"/>
        <v>11116.439999999999</v>
      </c>
      <c r="G642" s="23">
        <f t="shared" si="210"/>
        <v>11279.189999999999</v>
      </c>
      <c r="H642" s="23">
        <f t="shared" si="210"/>
        <v>11103.75</v>
      </c>
      <c r="I642" s="23">
        <f t="shared" si="210"/>
        <v>10995.779999999995</v>
      </c>
      <c r="J642" s="23">
        <f t="shared" si="210"/>
        <v>11045.550000000007</v>
      </c>
      <c r="K642" s="23">
        <f t="shared" si="210"/>
        <v>11127.27</v>
      </c>
      <c r="L642" s="103"/>
      <c r="M642" s="103"/>
      <c r="N642" s="103"/>
      <c r="O642" s="103"/>
      <c r="P642" s="103"/>
      <c r="Q642" s="104"/>
      <c r="R642" s="105"/>
    </row>
    <row r="643" spans="1:23">
      <c r="A643" s="110">
        <v>43413</v>
      </c>
      <c r="B643" s="21" t="s">
        <v>133</v>
      </c>
      <c r="C643" s="77">
        <v>28960.58</v>
      </c>
      <c r="D643" s="77">
        <v>28853.26</v>
      </c>
      <c r="E643" s="77">
        <v>28859.98</v>
      </c>
      <c r="F643" s="77">
        <v>28843.439999999999</v>
      </c>
      <c r="G643" s="77">
        <v>28944.880000000001</v>
      </c>
      <c r="H643" s="77">
        <v>28925.63</v>
      </c>
      <c r="I643" s="77">
        <v>28840.69</v>
      </c>
      <c r="J643" s="77">
        <v>28853.25</v>
      </c>
      <c r="K643" s="77">
        <v>28957.29</v>
      </c>
      <c r="L643" s="24">
        <f>IF((K644=""),"",MAX(C645:K645))</f>
        <v>11410.379999999997</v>
      </c>
      <c r="M643" s="30">
        <f>IF(K644="","",MIN(C645:K645))</f>
        <v>10927.44000000001</v>
      </c>
      <c r="N643" s="24">
        <f>IF((K645=""),"",AVERAGE(C645:K645))</f>
        <v>11283.253333333334</v>
      </c>
      <c r="O643" s="24">
        <f>IF((K644=""),"",STDEV(C645:K645))</f>
        <v>147.72935879511084</v>
      </c>
      <c r="P643" s="24">
        <f>IF((K644=""),"",O643/N643*100)</f>
        <v>1.3092798187796086</v>
      </c>
      <c r="Q643" s="26" t="str">
        <f>IF(K644="","",IF(P643&lt;15,IF(M643&gt;10000,IF(N643&lt;15600,"Pass","Fail"),"Fail"),"Fail"))</f>
        <v>Pass</v>
      </c>
      <c r="R643" s="118">
        <v>1159</v>
      </c>
      <c r="S643" s="77" t="s">
        <v>259</v>
      </c>
      <c r="T643" s="97">
        <v>10000</v>
      </c>
      <c r="U643" s="77">
        <v>8090</v>
      </c>
      <c r="V643" s="77">
        <v>12070</v>
      </c>
      <c r="W643" s="77">
        <v>6</v>
      </c>
    </row>
    <row r="644" spans="1:23">
      <c r="A644" s="107"/>
      <c r="B644" s="21" t="s">
        <v>135</v>
      </c>
      <c r="C644" s="77">
        <v>25318.1</v>
      </c>
      <c r="D644" s="77">
        <v>25113.53</v>
      </c>
      <c r="E644" s="77">
        <v>25103.14</v>
      </c>
      <c r="F644" s="77">
        <v>25041.77</v>
      </c>
      <c r="G644" s="77">
        <v>25157.08</v>
      </c>
      <c r="H644" s="77">
        <v>25159.66</v>
      </c>
      <c r="I644" s="77">
        <v>25053.87</v>
      </c>
      <c r="J644" s="77">
        <v>25049.79</v>
      </c>
      <c r="K644" s="77">
        <v>25192.3</v>
      </c>
      <c r="L644" s="99"/>
      <c r="M644" s="99"/>
      <c r="N644" s="99"/>
      <c r="O644" s="99"/>
      <c r="P644" s="99"/>
      <c r="Q644" s="100"/>
      <c r="R644" s="101"/>
      <c r="T644" s="97">
        <v>9000</v>
      </c>
      <c r="U644" s="77">
        <v>8090</v>
      </c>
      <c r="V644" s="77">
        <v>12070</v>
      </c>
    </row>
    <row r="645" spans="1:23" ht="15.75" thickBot="1">
      <c r="A645" s="108"/>
      <c r="B645" s="22" t="s">
        <v>136</v>
      </c>
      <c r="C645" s="23">
        <f t="shared" ref="C645:K645" si="211">IF(((C643="")*AND(C644="")),"",(C643-C644)*3)</f>
        <v>10927.44000000001</v>
      </c>
      <c r="D645" s="23">
        <f t="shared" si="211"/>
        <v>11219.189999999999</v>
      </c>
      <c r="E645" s="23">
        <f t="shared" si="211"/>
        <v>11270.52</v>
      </c>
      <c r="F645" s="23">
        <f t="shared" si="211"/>
        <v>11405.009999999995</v>
      </c>
      <c r="G645" s="23">
        <f t="shared" si="211"/>
        <v>11363.399999999998</v>
      </c>
      <c r="H645" s="23">
        <f t="shared" si="211"/>
        <v>11297.910000000003</v>
      </c>
      <c r="I645" s="23">
        <f t="shared" si="211"/>
        <v>11360.46</v>
      </c>
      <c r="J645" s="23">
        <f t="shared" si="211"/>
        <v>11410.379999999997</v>
      </c>
      <c r="K645" s="23">
        <f t="shared" si="211"/>
        <v>11294.970000000005</v>
      </c>
      <c r="L645" s="103"/>
      <c r="M645" s="103"/>
      <c r="N645" s="103"/>
      <c r="O645" s="103"/>
      <c r="P645" s="103"/>
      <c r="Q645" s="104"/>
      <c r="R645" s="105"/>
    </row>
    <row r="646" spans="1:23">
      <c r="A646" s="110">
        <v>43418</v>
      </c>
      <c r="B646" s="21" t="s">
        <v>133</v>
      </c>
      <c r="C646" s="77">
        <v>28987.94</v>
      </c>
      <c r="D646" s="77">
        <v>28916.799999999999</v>
      </c>
      <c r="E646" s="77">
        <v>28929.85</v>
      </c>
      <c r="F646" s="77">
        <v>28903.84</v>
      </c>
      <c r="G646" s="77">
        <v>28966.19</v>
      </c>
      <c r="H646" s="77">
        <v>28966.36</v>
      </c>
      <c r="I646" s="77">
        <v>28891.38</v>
      </c>
      <c r="J646" s="77">
        <v>28914.1</v>
      </c>
      <c r="K646" s="77">
        <v>28964.58</v>
      </c>
      <c r="L646" s="24">
        <f>IF((K647=""),"",MAX(C648:K648))</f>
        <v>12555.21</v>
      </c>
      <c r="M646" s="30">
        <f>IF(K647="","",MIN(C648:K648))</f>
        <v>11474.669999999998</v>
      </c>
      <c r="N646" s="24">
        <f>IF((K648=""),"",AVERAGE(C648:K648))</f>
        <v>12187.516666666668</v>
      </c>
      <c r="O646" s="24">
        <f>IF((K647=""),"",STDEV(C648:K648))</f>
        <v>328.41035184663497</v>
      </c>
      <c r="P646" s="24">
        <f>IF((K647=""),"",O646/N646*100)</f>
        <v>2.6946453558078001</v>
      </c>
      <c r="Q646" s="26" t="str">
        <f>IF(K647="","",IF(P646&lt;15,IF(M646&gt;10000,IF(N646&lt;15600,"Pass","Fail"),"Fail"),"Fail"))</f>
        <v>Pass</v>
      </c>
      <c r="R646" s="118">
        <v>121</v>
      </c>
      <c r="S646" s="77" t="s">
        <v>260</v>
      </c>
      <c r="T646" s="97">
        <v>10000</v>
      </c>
      <c r="U646" s="77">
        <v>8090</v>
      </c>
      <c r="V646" s="77">
        <v>12070</v>
      </c>
      <c r="W646" s="77">
        <v>6</v>
      </c>
    </row>
    <row r="647" spans="1:23">
      <c r="A647" s="107"/>
      <c r="B647" s="21" t="s">
        <v>135</v>
      </c>
      <c r="C647" s="77">
        <v>24802.87</v>
      </c>
      <c r="D647" s="77">
        <v>24778.71</v>
      </c>
      <c r="E647" s="77">
        <v>24911.59</v>
      </c>
      <c r="F647" s="77">
        <v>24893.439999999999</v>
      </c>
      <c r="G647" s="77">
        <v>25141.3</v>
      </c>
      <c r="H647" s="77">
        <v>24925.18</v>
      </c>
      <c r="I647" s="77">
        <v>24834.19</v>
      </c>
      <c r="J647" s="77">
        <v>24783.040000000001</v>
      </c>
      <c r="K647" s="77">
        <v>24808.17</v>
      </c>
      <c r="L647" s="99"/>
      <c r="M647" s="99"/>
      <c r="N647" s="99"/>
      <c r="O647" s="99"/>
      <c r="P647" s="99"/>
      <c r="Q647" s="100"/>
      <c r="R647" s="101"/>
      <c r="T647" s="97">
        <v>9000</v>
      </c>
      <c r="U647" s="77">
        <v>8090</v>
      </c>
      <c r="V647" s="77">
        <v>12070</v>
      </c>
    </row>
    <row r="648" spans="1:23" ht="15.75" thickBot="1">
      <c r="A648" s="108"/>
      <c r="B648" s="22" t="s">
        <v>136</v>
      </c>
      <c r="C648" s="23">
        <f t="shared" ref="C648:K648" si="212">IF(((C646="")*AND(C647="")),"",(C646-C647)*3)</f>
        <v>12555.21</v>
      </c>
      <c r="D648" s="23">
        <f t="shared" si="212"/>
        <v>12414.27</v>
      </c>
      <c r="E648" s="23">
        <f t="shared" si="212"/>
        <v>12054.779999999995</v>
      </c>
      <c r="F648" s="23">
        <f t="shared" si="212"/>
        <v>12031.200000000004</v>
      </c>
      <c r="G648" s="23">
        <f t="shared" si="212"/>
        <v>11474.669999999998</v>
      </c>
      <c r="H648" s="23">
        <f t="shared" si="212"/>
        <v>12123.54</v>
      </c>
      <c r="I648" s="23">
        <f t="shared" si="212"/>
        <v>12171.570000000007</v>
      </c>
      <c r="J648" s="23">
        <f t="shared" si="212"/>
        <v>12393.179999999993</v>
      </c>
      <c r="K648" s="23">
        <f t="shared" si="212"/>
        <v>12469.23000000001</v>
      </c>
      <c r="L648" s="103"/>
      <c r="M648" s="103"/>
      <c r="N648" s="103"/>
      <c r="O648" s="103"/>
      <c r="P648" s="103"/>
      <c r="Q648" s="104"/>
      <c r="R648" s="105"/>
    </row>
    <row r="649" spans="1:23">
      <c r="A649" s="110">
        <v>43424</v>
      </c>
      <c r="B649" s="21" t="s">
        <v>133</v>
      </c>
      <c r="C649" s="77">
        <v>29002.84</v>
      </c>
      <c r="D649" s="77">
        <v>28904.03</v>
      </c>
      <c r="E649" s="77">
        <v>28910.93</v>
      </c>
      <c r="F649" s="77">
        <v>28902.97</v>
      </c>
      <c r="G649" s="77">
        <v>28993.919999999998</v>
      </c>
      <c r="H649" s="77">
        <v>28969.38</v>
      </c>
      <c r="I649" s="77">
        <v>28893.21</v>
      </c>
      <c r="J649" s="77">
        <v>28895.119999999999</v>
      </c>
      <c r="K649" s="77">
        <v>28982.400000000001</v>
      </c>
      <c r="L649" s="24">
        <f>IF((K650=""),"",MAX(C651:K651))</f>
        <v>10079.399999999998</v>
      </c>
      <c r="M649" s="30">
        <f>IF(K650="","",MIN(C651:K651))</f>
        <v>9102.2999999999956</v>
      </c>
      <c r="N649" s="24">
        <f>IF((K651=""),"",AVERAGE(C651:K651))</f>
        <v>9719.6566666666677</v>
      </c>
      <c r="O649" s="24">
        <f>IF((K650=""),"",STDEV(C651:K651))</f>
        <v>292.51340627394291</v>
      </c>
      <c r="P649" s="24">
        <f>IF((K650=""),"",O649/N649*100)</f>
        <v>3.0095034866520614</v>
      </c>
      <c r="Q649" s="26" t="str">
        <f>IF(K650="","",IF(P649&lt;15,IF(M649&gt;10000,IF(N649&lt;15600,"Pass","Fail"),"Fail"),"Fail"))</f>
        <v>Fail</v>
      </c>
      <c r="R649" s="118">
        <v>1159</v>
      </c>
      <c r="T649" s="97">
        <v>10000</v>
      </c>
      <c r="U649" s="77">
        <v>8090</v>
      </c>
      <c r="V649" s="77">
        <v>12070</v>
      </c>
      <c r="W649" s="77">
        <v>6</v>
      </c>
    </row>
    <row r="650" spans="1:23">
      <c r="A650" s="107"/>
      <c r="B650" s="21" t="s">
        <v>135</v>
      </c>
      <c r="C650" s="77">
        <v>25968.74</v>
      </c>
      <c r="D650" s="77">
        <v>25730.080000000002</v>
      </c>
      <c r="E650" s="77">
        <v>25724.11</v>
      </c>
      <c r="F650" s="77">
        <v>25615.05</v>
      </c>
      <c r="G650" s="77">
        <v>25634.12</v>
      </c>
      <c r="H650" s="77">
        <v>25644</v>
      </c>
      <c r="I650" s="77">
        <v>25636.17</v>
      </c>
      <c r="J650" s="77">
        <v>25647.98</v>
      </c>
      <c r="K650" s="77">
        <v>25695.58</v>
      </c>
      <c r="L650" s="99"/>
      <c r="M650" s="99"/>
      <c r="N650" s="99"/>
      <c r="O650" s="99"/>
      <c r="P650" s="99"/>
      <c r="Q650" s="100"/>
      <c r="R650" s="101"/>
      <c r="T650" s="97">
        <v>9000</v>
      </c>
      <c r="U650" s="77">
        <v>8090</v>
      </c>
      <c r="V650" s="77">
        <v>12070</v>
      </c>
    </row>
    <row r="651" spans="1:23" ht="15.75" thickBot="1">
      <c r="A651" s="108"/>
      <c r="B651" s="22" t="s">
        <v>136</v>
      </c>
      <c r="C651" s="23">
        <f t="shared" ref="C651:K651" si="213">IF(((C649="")*AND(C650="")),"",(C649-C650)*3)</f>
        <v>9102.2999999999956</v>
      </c>
      <c r="D651" s="23">
        <f t="shared" si="213"/>
        <v>9521.8499999999913</v>
      </c>
      <c r="E651" s="23">
        <f t="shared" si="213"/>
        <v>9560.4599999999991</v>
      </c>
      <c r="F651" s="23">
        <f t="shared" si="213"/>
        <v>9863.7600000000057</v>
      </c>
      <c r="G651" s="23">
        <f t="shared" si="213"/>
        <v>10079.399999999998</v>
      </c>
      <c r="H651" s="23">
        <f t="shared" si="213"/>
        <v>9976.1400000000031</v>
      </c>
      <c r="I651" s="23">
        <f t="shared" si="213"/>
        <v>9771.1200000000026</v>
      </c>
      <c r="J651" s="23">
        <f t="shared" si="213"/>
        <v>9741.4199999999983</v>
      </c>
      <c r="K651" s="23">
        <f t="shared" si="213"/>
        <v>9860.4599999999991</v>
      </c>
      <c r="L651" s="103"/>
      <c r="M651" s="103"/>
      <c r="N651" s="103"/>
      <c r="O651" s="103"/>
      <c r="P651" s="103"/>
      <c r="Q651" s="104"/>
      <c r="R651" s="105"/>
    </row>
    <row r="652" spans="1:23">
      <c r="A652" s="110">
        <v>43424</v>
      </c>
      <c r="B652" s="21" t="s">
        <v>133</v>
      </c>
      <c r="C652" s="77">
        <v>29088.33</v>
      </c>
      <c r="D652" s="77">
        <v>29005.51</v>
      </c>
      <c r="E652" s="77">
        <v>29042.11</v>
      </c>
      <c r="F652" s="77">
        <v>29007.09</v>
      </c>
      <c r="G652" s="77">
        <v>29061.08</v>
      </c>
      <c r="H652" s="77">
        <v>29055.31</v>
      </c>
      <c r="I652" s="77">
        <v>28994.52</v>
      </c>
      <c r="J652" s="77">
        <v>29000.1</v>
      </c>
      <c r="K652" s="77">
        <v>29059.34</v>
      </c>
      <c r="L652" s="24">
        <f>IF((K653=""),"",MAX(C654:K654))</f>
        <v>11347.260000000006</v>
      </c>
      <c r="M652" s="30">
        <f>IF(K653="","",MIN(C654:K654))</f>
        <v>10709.46000000001</v>
      </c>
      <c r="N652" s="24">
        <f>IF((K654=""),"",AVERAGE(C654:K654))</f>
        <v>11112.710000000001</v>
      </c>
      <c r="O652" s="24">
        <f>IF((K653=""),"",STDEV(C654:K654))</f>
        <v>195.74447808304302</v>
      </c>
      <c r="P652" s="24">
        <f>IF((K653=""),"",O652/N652*100)</f>
        <v>1.7614468305484712</v>
      </c>
      <c r="Q652" s="26" t="str">
        <f>IF(K653="","",IF(P652&lt;15,IF(M652&gt;10000,IF(N652&lt;15600,"Pass","Fail"),"Fail"),"Fail"))</f>
        <v>Pass</v>
      </c>
      <c r="R652" s="118">
        <v>1159</v>
      </c>
      <c r="S652" s="77" t="s">
        <v>261</v>
      </c>
      <c r="T652" s="97">
        <v>10000</v>
      </c>
      <c r="U652" s="77">
        <v>8090</v>
      </c>
      <c r="V652" s="77">
        <v>12070</v>
      </c>
      <c r="W652" s="77">
        <v>6</v>
      </c>
    </row>
    <row r="653" spans="1:23">
      <c r="A653" s="107"/>
      <c r="B653" s="21" t="s">
        <v>135</v>
      </c>
      <c r="C653" s="77">
        <v>25518.51</v>
      </c>
      <c r="D653" s="77">
        <v>25337.4</v>
      </c>
      <c r="E653" s="77">
        <v>25394.41</v>
      </c>
      <c r="F653" s="77">
        <v>25265.46</v>
      </c>
      <c r="G653" s="77">
        <v>25278.66</v>
      </c>
      <c r="H653" s="77">
        <v>25309.7</v>
      </c>
      <c r="I653" s="77">
        <v>25283.41</v>
      </c>
      <c r="J653" s="77">
        <v>25274.69</v>
      </c>
      <c r="K653" s="77">
        <v>25313.02</v>
      </c>
      <c r="L653" s="99"/>
      <c r="M653" s="99"/>
      <c r="N653" s="99"/>
      <c r="O653" s="99"/>
      <c r="P653" s="99"/>
      <c r="Q653" s="100"/>
      <c r="R653" s="101"/>
      <c r="T653" s="97">
        <v>9000</v>
      </c>
      <c r="U653" s="77">
        <v>8090</v>
      </c>
      <c r="V653" s="77">
        <v>12070</v>
      </c>
    </row>
    <row r="654" spans="1:23" ht="15.75" thickBot="1">
      <c r="A654" s="108"/>
      <c r="B654" s="22" t="s">
        <v>136</v>
      </c>
      <c r="C654" s="23">
        <f t="shared" ref="C654:K654" si="214">IF(((C652="")*AND(C653="")),"",(C652-C653)*3)</f>
        <v>10709.46000000001</v>
      </c>
      <c r="D654" s="23">
        <f t="shared" si="214"/>
        <v>11004.329999999991</v>
      </c>
      <c r="E654" s="23">
        <f t="shared" si="214"/>
        <v>10943.100000000002</v>
      </c>
      <c r="F654" s="23">
        <f t="shared" si="214"/>
        <v>11224.890000000003</v>
      </c>
      <c r="G654" s="23">
        <f t="shared" si="214"/>
        <v>11347.260000000006</v>
      </c>
      <c r="H654" s="23">
        <f t="shared" si="214"/>
        <v>11236.830000000002</v>
      </c>
      <c r="I654" s="23">
        <f t="shared" si="214"/>
        <v>11133.330000000002</v>
      </c>
      <c r="J654" s="23">
        <f t="shared" si="214"/>
        <v>11176.23</v>
      </c>
      <c r="K654" s="23">
        <f t="shared" si="214"/>
        <v>11238.96</v>
      </c>
      <c r="L654" s="103"/>
      <c r="M654" s="103"/>
      <c r="N654" s="103"/>
      <c r="O654" s="103"/>
      <c r="P654" s="103"/>
      <c r="Q654" s="104"/>
      <c r="R654" s="105"/>
    </row>
    <row r="655" spans="1:23">
      <c r="A655" s="110">
        <v>43424</v>
      </c>
      <c r="B655" s="21" t="s">
        <v>133</v>
      </c>
      <c r="C655" s="77">
        <v>28929.58</v>
      </c>
      <c r="D655" s="77">
        <v>28848.07</v>
      </c>
      <c r="E655" s="77">
        <v>28860.82</v>
      </c>
      <c r="F655" s="77">
        <v>28859.33</v>
      </c>
      <c r="G655" s="77">
        <v>28935.03</v>
      </c>
      <c r="H655" s="77">
        <v>28908.61</v>
      </c>
      <c r="I655" s="77">
        <v>28845.87</v>
      </c>
      <c r="J655" s="77">
        <v>28852.98</v>
      </c>
      <c r="K655" s="77">
        <v>28931.75</v>
      </c>
      <c r="L655" s="24">
        <f>IF((K656=""),"",MAX(C657:K657))</f>
        <v>11023.889999999992</v>
      </c>
      <c r="M655" s="30">
        <f>IF(K656="","",MIN(C657:K657))</f>
        <v>10374.840000000007</v>
      </c>
      <c r="N655" s="24">
        <f>IF((K657=""),"",AVERAGE(C657:K657))</f>
        <v>10837.956666666669</v>
      </c>
      <c r="O655" s="24">
        <f>IF((K656=""),"",STDEV(C657:K657))</f>
        <v>202.07808422722962</v>
      </c>
      <c r="P655" s="24">
        <f>IF((K656=""),"",O655/N655*100)</f>
        <v>1.8645404336109135</v>
      </c>
      <c r="Q655" s="26" t="str">
        <f>IF(K656="","",IF(P655&lt;15,IF(M655&gt;10000,IF(N655&lt;15600,"Pass","Fail"),"Fail"),"Fail"))</f>
        <v>Pass</v>
      </c>
      <c r="R655" s="118">
        <v>64</v>
      </c>
      <c r="S655" s="77" t="s">
        <v>262</v>
      </c>
      <c r="T655" s="97">
        <v>10000</v>
      </c>
      <c r="U655" s="77">
        <v>8090</v>
      </c>
      <c r="V655" s="77">
        <v>12070</v>
      </c>
      <c r="W655" s="77">
        <v>6</v>
      </c>
    </row>
    <row r="656" spans="1:23">
      <c r="A656" s="107"/>
      <c r="B656" s="21" t="s">
        <v>135</v>
      </c>
      <c r="C656" s="77">
        <v>25471.3</v>
      </c>
      <c r="D656" s="77">
        <v>25266.59</v>
      </c>
      <c r="E656" s="77">
        <v>25287.16</v>
      </c>
      <c r="F656" s="77">
        <v>25202.639999999999</v>
      </c>
      <c r="G656" s="77">
        <v>25260.400000000001</v>
      </c>
      <c r="H656" s="77">
        <v>25275.31</v>
      </c>
      <c r="I656" s="77">
        <v>25218.33</v>
      </c>
      <c r="J656" s="77">
        <v>25206.03</v>
      </c>
      <c r="K656" s="77">
        <v>25270.41</v>
      </c>
      <c r="L656" s="99"/>
      <c r="M656" s="99"/>
      <c r="N656" s="99"/>
      <c r="O656" s="99"/>
      <c r="P656" s="99"/>
      <c r="Q656" s="100"/>
      <c r="R656" s="101"/>
      <c r="T656" s="97">
        <v>9000</v>
      </c>
      <c r="U656" s="77">
        <v>8090</v>
      </c>
      <c r="V656" s="77">
        <v>12070</v>
      </c>
    </row>
    <row r="657" spans="1:23" ht="15.75" thickBot="1">
      <c r="A657" s="108"/>
      <c r="B657" s="22" t="s">
        <v>136</v>
      </c>
      <c r="C657" s="23">
        <f t="shared" ref="C657:K657" si="215">IF(((C655="")*AND(C656="")),"",(C655-C656)*3)</f>
        <v>10374.840000000007</v>
      </c>
      <c r="D657" s="23">
        <f t="shared" si="215"/>
        <v>10744.439999999999</v>
      </c>
      <c r="E657" s="23">
        <f t="shared" si="215"/>
        <v>10720.98</v>
      </c>
      <c r="F657" s="23">
        <f t="shared" si="215"/>
        <v>10970.070000000007</v>
      </c>
      <c r="G657" s="23">
        <f t="shared" si="215"/>
        <v>11023.889999999992</v>
      </c>
      <c r="H657" s="23">
        <f t="shared" si="215"/>
        <v>10899.899999999998</v>
      </c>
      <c r="I657" s="23">
        <f t="shared" si="215"/>
        <v>10882.619999999992</v>
      </c>
      <c r="J657" s="23">
        <f t="shared" si="215"/>
        <v>10940.850000000002</v>
      </c>
      <c r="K657" s="23">
        <f t="shared" si="215"/>
        <v>10984.02</v>
      </c>
      <c r="L657" s="103"/>
      <c r="M657" s="103"/>
      <c r="N657" s="103"/>
      <c r="O657" s="103"/>
      <c r="P657" s="103"/>
      <c r="Q657" s="104"/>
      <c r="R657" s="105"/>
    </row>
    <row r="658" spans="1:23">
      <c r="A658" s="110">
        <v>43433</v>
      </c>
      <c r="B658" s="21" t="s">
        <v>133</v>
      </c>
      <c r="C658" s="77">
        <v>28859.87</v>
      </c>
      <c r="D658" s="77">
        <v>28848.61</v>
      </c>
      <c r="E658" s="77">
        <v>28897.31</v>
      </c>
      <c r="F658" s="77">
        <v>28826.36</v>
      </c>
      <c r="G658" s="77">
        <v>28896.91</v>
      </c>
      <c r="H658" s="77">
        <v>28882.37</v>
      </c>
      <c r="I658" s="77">
        <v>28831.85</v>
      </c>
      <c r="J658" s="77">
        <v>28841.98</v>
      </c>
      <c r="K658" s="77">
        <v>26693.360000000001</v>
      </c>
      <c r="L658" s="24">
        <f>IF((K659=""),"",MAX(C660:K660))</f>
        <v>11381.280000000006</v>
      </c>
      <c r="M658" s="30">
        <f>IF(K659="","",MIN(C660:K660))</f>
        <v>10680.330000000002</v>
      </c>
      <c r="N658" s="24">
        <f>IF((K660=""),"",AVERAGE(C660:K660))</f>
        <v>11081.279999999999</v>
      </c>
      <c r="O658" s="24">
        <f>IF((K659=""),"",STDEV(C660:K660))</f>
        <v>206.30219448680975</v>
      </c>
      <c r="P658" s="24">
        <f>IF((K659=""),"",O658/N658*100)</f>
        <v>1.8617180911123064</v>
      </c>
      <c r="Q658" s="26" t="str">
        <f>IF(K659="","",IF(P658&lt;15,IF(M658&gt;10000,IF(N658&lt;15600,"Pass","Fail"),"Fail"),"Fail"))</f>
        <v>Pass</v>
      </c>
      <c r="R658" s="118">
        <v>1340</v>
      </c>
      <c r="T658" s="97">
        <v>10000</v>
      </c>
      <c r="U658" s="77">
        <v>8090</v>
      </c>
      <c r="V658" s="77">
        <v>12070</v>
      </c>
      <c r="W658" s="77">
        <v>6</v>
      </c>
    </row>
    <row r="659" spans="1:23">
      <c r="A659" s="107"/>
      <c r="B659" s="21" t="s">
        <v>135</v>
      </c>
      <c r="C659" s="77">
        <v>25175.84</v>
      </c>
      <c r="D659" s="77">
        <v>25125.93</v>
      </c>
      <c r="E659" s="77">
        <v>25256.25</v>
      </c>
      <c r="F659" s="77">
        <v>25167.11</v>
      </c>
      <c r="G659" s="77">
        <v>25336.799999999999</v>
      </c>
      <c r="H659" s="77">
        <v>25122.07</v>
      </c>
      <c r="I659" s="77">
        <v>25116.959999999999</v>
      </c>
      <c r="J659" s="77">
        <v>25134.22</v>
      </c>
      <c r="K659" s="77">
        <v>22899.599999999999</v>
      </c>
      <c r="L659" s="99"/>
      <c r="M659" s="99"/>
      <c r="N659" s="99"/>
      <c r="O659" s="99"/>
      <c r="P659" s="99"/>
      <c r="Q659" s="100"/>
      <c r="R659" s="101"/>
      <c r="T659" s="97">
        <v>9000</v>
      </c>
      <c r="U659" s="77">
        <v>8090</v>
      </c>
      <c r="V659" s="77">
        <v>12070</v>
      </c>
    </row>
    <row r="660" spans="1:23" ht="15.75" thickBot="1">
      <c r="A660" s="108"/>
      <c r="B660" s="22" t="s">
        <v>136</v>
      </c>
      <c r="C660" s="23">
        <f>IF(((C658="")*AND(C659="")),"",(C658-C659)*3)</f>
        <v>11052.089999999997</v>
      </c>
      <c r="D660" s="23">
        <f t="shared" ref="D660:K660" si="216">IF(((D658="")*AND(D659="")),"",(D658-D659)*3)</f>
        <v>11168.04</v>
      </c>
      <c r="E660" s="23">
        <f t="shared" si="216"/>
        <v>10923.180000000004</v>
      </c>
      <c r="F660" s="23">
        <f t="shared" si="216"/>
        <v>10977.75</v>
      </c>
      <c r="G660" s="23">
        <f t="shared" si="216"/>
        <v>10680.330000000002</v>
      </c>
      <c r="H660" s="23">
        <f t="shared" si="216"/>
        <v>11280.899999999998</v>
      </c>
      <c r="I660" s="23">
        <f t="shared" si="216"/>
        <v>11144.669999999998</v>
      </c>
      <c r="J660" s="23">
        <f t="shared" si="216"/>
        <v>11123.279999999995</v>
      </c>
      <c r="K660" s="23">
        <f t="shared" si="216"/>
        <v>11381.280000000006</v>
      </c>
      <c r="L660" s="103"/>
      <c r="M660" s="103"/>
      <c r="N660" s="103"/>
      <c r="O660" s="103"/>
      <c r="P660" s="103"/>
      <c r="Q660" s="104"/>
      <c r="R660" s="105"/>
    </row>
    <row r="661" spans="1:23">
      <c r="A661" s="110">
        <v>43437</v>
      </c>
      <c r="B661" s="21" t="s">
        <v>133</v>
      </c>
      <c r="C661" s="77">
        <v>28843.4</v>
      </c>
      <c r="D661" s="77">
        <v>28769.94</v>
      </c>
      <c r="E661" s="77">
        <v>28776.400000000001</v>
      </c>
      <c r="F661" s="77">
        <v>28754.43</v>
      </c>
      <c r="G661" s="77">
        <v>28826.59</v>
      </c>
      <c r="H661" s="77">
        <v>28837.65</v>
      </c>
      <c r="I661" s="77">
        <v>28753.22</v>
      </c>
      <c r="J661" s="77">
        <v>28752.35</v>
      </c>
      <c r="K661" s="77">
        <v>28827.63</v>
      </c>
      <c r="L661" s="24">
        <f>IF((K662=""),"",MAX(C663:K663))</f>
        <v>10962.839999999997</v>
      </c>
      <c r="M661" s="30">
        <f>IF(K662="","",MIN(C663:K663))</f>
        <v>10162.050000000007</v>
      </c>
      <c r="N661" s="24">
        <f>IF((K663=""),"",AVERAGE(C663:K663))</f>
        <v>10671.426666666666</v>
      </c>
      <c r="O661" s="24">
        <f>IF((K662=""),"",STDEV(C663:K663))</f>
        <v>236.14470976496119</v>
      </c>
      <c r="P661" s="24">
        <f>IF((K662=""),"",O661/N661*100)</f>
        <v>2.2128691611833333</v>
      </c>
      <c r="Q661" s="26" t="str">
        <f>IF(K662="","",IF(P661&lt;15,IF(M661&gt;10000,IF(N661&lt;15600,"Pass","Fail"),"Fail"),"Fail"))</f>
        <v>Pass</v>
      </c>
      <c r="R661" s="118">
        <v>64</v>
      </c>
      <c r="T661" s="97">
        <v>10000</v>
      </c>
      <c r="U661" s="77">
        <v>8090</v>
      </c>
      <c r="V661" s="77">
        <v>12070</v>
      </c>
      <c r="W661" s="77">
        <v>6</v>
      </c>
    </row>
    <row r="662" spans="1:23">
      <c r="A662" s="107"/>
      <c r="B662" s="21" t="s">
        <v>135</v>
      </c>
      <c r="C662" s="77">
        <v>25456.05</v>
      </c>
      <c r="D662" s="77">
        <v>25256.9</v>
      </c>
      <c r="E662" s="77">
        <v>25269.75</v>
      </c>
      <c r="F662" s="77">
        <v>25146.68</v>
      </c>
      <c r="G662" s="77">
        <v>25172.31</v>
      </c>
      <c r="H662" s="77">
        <v>25226.83</v>
      </c>
      <c r="I662" s="77">
        <v>25170.06</v>
      </c>
      <c r="J662" s="77">
        <v>25178.58</v>
      </c>
      <c r="K662" s="77">
        <v>25250.17</v>
      </c>
      <c r="L662" s="99"/>
      <c r="M662" s="99"/>
      <c r="N662" s="99"/>
      <c r="O662" s="99"/>
      <c r="P662" s="99"/>
      <c r="Q662" s="100"/>
      <c r="R662" s="101"/>
      <c r="T662" s="97">
        <v>9000</v>
      </c>
      <c r="U662" s="77">
        <v>8090</v>
      </c>
      <c r="V662" s="77">
        <v>12070</v>
      </c>
    </row>
    <row r="663" spans="1:23" ht="15.75" thickBot="1">
      <c r="A663" s="108"/>
      <c r="B663" s="22" t="s">
        <v>136</v>
      </c>
      <c r="C663" s="23">
        <f>IF(((C661="")*AND(C662="")),"",(C661-C662)*3)</f>
        <v>10162.050000000007</v>
      </c>
      <c r="D663" s="23">
        <f t="shared" ref="D663:K663" si="217">IF(((D661="")*AND(D662="")),"",(D661-D662)*3)</f>
        <v>10539.119999999992</v>
      </c>
      <c r="E663" s="23">
        <f t="shared" si="217"/>
        <v>10519.950000000004</v>
      </c>
      <c r="F663" s="23">
        <f t="shared" si="217"/>
        <v>10823.25</v>
      </c>
      <c r="G663" s="23">
        <f t="shared" si="217"/>
        <v>10962.839999999997</v>
      </c>
      <c r="H663" s="23">
        <f t="shared" si="217"/>
        <v>10832.46</v>
      </c>
      <c r="I663" s="23">
        <f t="shared" si="217"/>
        <v>10749.48</v>
      </c>
      <c r="J663" s="23">
        <f t="shared" si="217"/>
        <v>10721.30999999999</v>
      </c>
      <c r="K663" s="23">
        <f t="shared" si="217"/>
        <v>10732.380000000008</v>
      </c>
      <c r="L663" s="103"/>
      <c r="M663" s="103"/>
      <c r="N663" s="103"/>
      <c r="O663" s="103"/>
      <c r="P663" s="103"/>
      <c r="Q663" s="104"/>
      <c r="R663" s="105"/>
    </row>
    <row r="664" spans="1:23">
      <c r="A664" s="110">
        <v>43438</v>
      </c>
      <c r="B664" s="21" t="s">
        <v>133</v>
      </c>
      <c r="C664" s="77">
        <v>28887.91</v>
      </c>
      <c r="D664" s="77">
        <v>28803.200000000001</v>
      </c>
      <c r="E664" s="77">
        <v>28805.5</v>
      </c>
      <c r="F664" s="77">
        <v>28801.53</v>
      </c>
      <c r="G664" s="77">
        <v>28886.25</v>
      </c>
      <c r="H664" s="77">
        <v>28873.24</v>
      </c>
      <c r="I664" s="77">
        <v>28800.84</v>
      </c>
      <c r="J664" s="77">
        <v>28796.2</v>
      </c>
      <c r="K664" s="77">
        <v>28902.42</v>
      </c>
      <c r="L664" s="24">
        <f>IF((K665=""),"",MAX(C666:K666))</f>
        <v>11515.379999999997</v>
      </c>
      <c r="M664" s="30">
        <f>IF(K665="","",MIN(C666:K666))</f>
        <v>10728.450000000004</v>
      </c>
      <c r="N664" s="24">
        <f>IF((K666=""),"",AVERAGE(C666:K666))</f>
        <v>11248.793333333331</v>
      </c>
      <c r="O664" s="24">
        <f>IF((K665=""),"",STDEV(C666:K666))</f>
        <v>230.92151220707305</v>
      </c>
      <c r="P664" s="24">
        <f>IF((K665=""),"",O664/N664*100)</f>
        <v>2.0528558518609086</v>
      </c>
      <c r="Q664" s="26" t="str">
        <f>IF(K665="","",IF(P664&lt;15,IF(M664&gt;10000,IF(N664&lt;15600,"Pass","Fail"),"Fail"),"Fail"))</f>
        <v>Pass</v>
      </c>
      <c r="R664" s="118">
        <v>1159</v>
      </c>
      <c r="S664" s="77" t="s">
        <v>263</v>
      </c>
      <c r="T664" s="97">
        <v>10000</v>
      </c>
      <c r="U664" s="77">
        <v>8090</v>
      </c>
      <c r="V664" s="77">
        <v>12070</v>
      </c>
      <c r="W664" s="77">
        <v>6</v>
      </c>
    </row>
    <row r="665" spans="1:23">
      <c r="A665" s="107"/>
      <c r="B665" s="21" t="s">
        <v>135</v>
      </c>
      <c r="C665" s="77">
        <v>25311.759999999998</v>
      </c>
      <c r="D665" s="77">
        <v>25090.21</v>
      </c>
      <c r="E665" s="77">
        <v>25102.13</v>
      </c>
      <c r="F665" s="77">
        <v>25007.33</v>
      </c>
      <c r="G665" s="77">
        <v>25047.79</v>
      </c>
      <c r="H665" s="77">
        <v>25097.74</v>
      </c>
      <c r="I665" s="77">
        <v>25027.4</v>
      </c>
      <c r="J665" s="77">
        <v>25014.720000000001</v>
      </c>
      <c r="K665" s="77">
        <v>25111.63</v>
      </c>
      <c r="L665" s="99"/>
      <c r="M665" s="99"/>
      <c r="N665" s="99"/>
      <c r="O665" s="99"/>
      <c r="P665" s="99"/>
      <c r="Q665" s="100"/>
      <c r="R665" s="101"/>
      <c r="T665" s="97">
        <v>9000</v>
      </c>
      <c r="U665" s="77">
        <v>8090</v>
      </c>
      <c r="V665" s="77">
        <v>12070</v>
      </c>
    </row>
    <row r="666" spans="1:23" ht="15.75" thickBot="1">
      <c r="A666" s="108"/>
      <c r="B666" s="22" t="s">
        <v>136</v>
      </c>
      <c r="C666" s="23">
        <f>IF(((C664="")*AND(C665="")),"",(C664-C665)*3)</f>
        <v>10728.450000000004</v>
      </c>
      <c r="D666" s="23">
        <f t="shared" ref="D666:K666" si="218">IF(((D664="")*AND(D665="")),"",(D664-D665)*3)</f>
        <v>11138.970000000005</v>
      </c>
      <c r="E666" s="23">
        <f t="shared" si="218"/>
        <v>11110.109999999997</v>
      </c>
      <c r="F666" s="23">
        <f t="shared" si="218"/>
        <v>11382.599999999991</v>
      </c>
      <c r="G666" s="23">
        <f t="shared" si="218"/>
        <v>11515.379999999997</v>
      </c>
      <c r="H666" s="23">
        <f t="shared" si="218"/>
        <v>11326.5</v>
      </c>
      <c r="I666" s="23">
        <f t="shared" si="218"/>
        <v>11320.319999999996</v>
      </c>
      <c r="J666" s="23">
        <f t="shared" si="218"/>
        <v>11344.439999999999</v>
      </c>
      <c r="K666" s="23">
        <f t="shared" si="218"/>
        <v>11372.369999999992</v>
      </c>
      <c r="L666" s="103"/>
      <c r="M666" s="103"/>
      <c r="N666" s="103"/>
      <c r="O666" s="103"/>
      <c r="P666" s="103"/>
      <c r="Q666" s="104"/>
      <c r="R666" s="105"/>
    </row>
    <row r="667" spans="1:23">
      <c r="A667" s="110">
        <v>43448</v>
      </c>
      <c r="B667" s="21" t="s">
        <v>133</v>
      </c>
      <c r="C667" s="77">
        <v>28988</v>
      </c>
      <c r="D667" s="77">
        <v>28792</v>
      </c>
      <c r="E667" s="77">
        <v>28797</v>
      </c>
      <c r="F667" s="77">
        <v>28801</v>
      </c>
      <c r="G667" s="77">
        <v>28974</v>
      </c>
      <c r="H667" s="77">
        <v>29011</v>
      </c>
      <c r="I667" s="77">
        <v>28810</v>
      </c>
      <c r="J667" s="77">
        <v>28795</v>
      </c>
      <c r="K667" s="77">
        <v>29012</v>
      </c>
      <c r="L667" s="24">
        <f>IF((K668=""),"",MAX(C669:K669))</f>
        <v>10374</v>
      </c>
      <c r="M667" s="30">
        <f>IF(K668="","",MIN(C669:K669))</f>
        <v>9366</v>
      </c>
      <c r="N667" s="24">
        <f>IF((K669=""),"",AVERAGE(C669:K669))</f>
        <v>10074.666666666666</v>
      </c>
      <c r="O667" s="24">
        <f>IF((K668=""),"",STDEV(C669:K669))</f>
        <v>307.75152314813977</v>
      </c>
      <c r="P667" s="24">
        <f>IF((K668=""),"",O667/N667*100)</f>
        <v>3.0547067543820123</v>
      </c>
      <c r="Q667" s="26" t="str">
        <f>IF(K668="","",IF(P667&lt;15,IF(M667&gt;10000,IF(N667&lt;15600,"Pass","Fail"),"Fail"),"Fail"))</f>
        <v>Fail</v>
      </c>
      <c r="R667" s="118">
        <v>121</v>
      </c>
      <c r="T667" s="97">
        <v>10000</v>
      </c>
      <c r="U667" s="77">
        <v>8090</v>
      </c>
      <c r="V667" s="77">
        <v>12070</v>
      </c>
      <c r="W667" s="77">
        <v>6</v>
      </c>
    </row>
    <row r="668" spans="1:23">
      <c r="A668" s="107"/>
      <c r="B668" s="21" t="s">
        <v>135</v>
      </c>
      <c r="C668" s="77">
        <v>25568</v>
      </c>
      <c r="D668" s="77">
        <v>25366</v>
      </c>
      <c r="E668" s="77">
        <v>25465</v>
      </c>
      <c r="F668" s="77">
        <v>25483</v>
      </c>
      <c r="G668" s="77">
        <v>25852</v>
      </c>
      <c r="H668" s="77">
        <v>25553</v>
      </c>
      <c r="I668" s="77">
        <v>25400</v>
      </c>
      <c r="J668" s="77">
        <v>25377</v>
      </c>
      <c r="K668" s="77">
        <v>25692</v>
      </c>
      <c r="L668" s="99"/>
      <c r="M668" s="99"/>
      <c r="N668" s="99"/>
      <c r="O668" s="99"/>
      <c r="P668" s="99"/>
      <c r="Q668" s="100"/>
      <c r="R668" s="101"/>
      <c r="T668" s="97">
        <v>9000</v>
      </c>
      <c r="U668" s="77">
        <v>8090</v>
      </c>
      <c r="V668" s="77">
        <v>12070</v>
      </c>
    </row>
    <row r="669" spans="1:23" ht="15.75" thickBot="1">
      <c r="A669" s="108"/>
      <c r="B669" s="22" t="s">
        <v>136</v>
      </c>
      <c r="C669" s="23">
        <f>IF(((C667="")*AND(C668="")),"",(C667-C668)*3)</f>
        <v>10260</v>
      </c>
      <c r="D669" s="23">
        <f t="shared" ref="D669:K669" si="219">IF(((D667="")*AND(D668="")),"",(D667-D668)*3)</f>
        <v>10278</v>
      </c>
      <c r="E669" s="23">
        <f t="shared" si="219"/>
        <v>9996</v>
      </c>
      <c r="F669" s="23">
        <f t="shared" si="219"/>
        <v>9954</v>
      </c>
      <c r="G669" s="23">
        <f t="shared" si="219"/>
        <v>9366</v>
      </c>
      <c r="H669" s="23">
        <f t="shared" si="219"/>
        <v>10374</v>
      </c>
      <c r="I669" s="23">
        <f t="shared" si="219"/>
        <v>10230</v>
      </c>
      <c r="J669" s="23">
        <f t="shared" si="219"/>
        <v>10254</v>
      </c>
      <c r="K669" s="23">
        <f t="shared" si="219"/>
        <v>9960</v>
      </c>
      <c r="L669" s="103"/>
      <c r="M669" s="103"/>
      <c r="N669" s="103"/>
      <c r="O669" s="103"/>
      <c r="P669" s="103"/>
      <c r="Q669" s="104"/>
      <c r="R669" s="105"/>
    </row>
    <row r="670" spans="1:23">
      <c r="A670" s="110">
        <v>43448</v>
      </c>
      <c r="B670" s="21" t="s">
        <v>133</v>
      </c>
      <c r="C670" s="77">
        <v>28818.18</v>
      </c>
      <c r="D670" s="77">
        <v>28752.62</v>
      </c>
      <c r="E670" s="77">
        <v>28806.22</v>
      </c>
      <c r="F670" s="77">
        <v>28756.22</v>
      </c>
      <c r="G670" s="77">
        <v>28833.86</v>
      </c>
      <c r="H670" s="77">
        <v>28824.57</v>
      </c>
      <c r="I670" s="77">
        <v>28749.7</v>
      </c>
      <c r="J670" s="77">
        <v>28744.57</v>
      </c>
      <c r="K670" s="77">
        <v>28817.05</v>
      </c>
      <c r="L670" s="24">
        <f>IF((K671=""),"",MAX(C672:K672))</f>
        <v>10975.410000000003</v>
      </c>
      <c r="M670" s="30">
        <f>IF(K671="","",MIN(C672:K672))</f>
        <v>10160.550000000007</v>
      </c>
      <c r="N670" s="24">
        <f>IF((K672=""),"",AVERAGE(C672:K672))</f>
        <v>10714.690000000004</v>
      </c>
      <c r="O670" s="24">
        <f>IF((K671=""),"",STDEV(C672:K672))</f>
        <v>248.18836047439578</v>
      </c>
      <c r="P670" s="24">
        <f>IF((K671=""),"",O670/N670*100)</f>
        <v>2.3163372946337755</v>
      </c>
      <c r="Q670" s="26" t="str">
        <f>IF(K671="","",IF(P670&lt;15,IF(M670&gt;10000,IF(N670&lt;15600,"Pass","Fail"),"Fail"),"Fail"))</f>
        <v>Pass</v>
      </c>
      <c r="R670" s="118">
        <v>121</v>
      </c>
      <c r="S670" s="77" t="s">
        <v>264</v>
      </c>
      <c r="T670" s="97">
        <v>10000</v>
      </c>
      <c r="U670" s="77">
        <v>8090</v>
      </c>
      <c r="V670" s="77">
        <v>12070</v>
      </c>
      <c r="W670" s="77">
        <v>6</v>
      </c>
    </row>
    <row r="671" spans="1:23">
      <c r="A671" s="107"/>
      <c r="B671" s="21" t="s">
        <v>135</v>
      </c>
      <c r="C671" s="77">
        <v>25159.71</v>
      </c>
      <c r="D671" s="77">
        <v>25132.28</v>
      </c>
      <c r="E671" s="77">
        <v>25282.84</v>
      </c>
      <c r="F671" s="77">
        <v>25223.96</v>
      </c>
      <c r="G671" s="77">
        <v>25447.01</v>
      </c>
      <c r="H671" s="77">
        <v>25233.89</v>
      </c>
      <c r="I671" s="77">
        <v>25173.200000000001</v>
      </c>
      <c r="J671" s="77">
        <v>25124.59</v>
      </c>
      <c r="K671" s="77">
        <v>25181.439999999999</v>
      </c>
      <c r="L671" s="99"/>
      <c r="M671" s="99"/>
      <c r="N671" s="99"/>
      <c r="O671" s="99"/>
      <c r="P671" s="99"/>
      <c r="Q671" s="100"/>
      <c r="R671" s="101"/>
      <c r="T671" s="97">
        <v>9000</v>
      </c>
      <c r="U671" s="77">
        <v>8090</v>
      </c>
      <c r="V671" s="77">
        <v>12070</v>
      </c>
    </row>
    <row r="672" spans="1:23" ht="15.75" thickBot="1">
      <c r="A672" s="108"/>
      <c r="B672" s="22" t="s">
        <v>136</v>
      </c>
      <c r="C672" s="23">
        <f>IF(((C670="")*AND(C671="")),"",(C670-C671)*3)</f>
        <v>10975.410000000003</v>
      </c>
      <c r="D672" s="23">
        <f t="shared" ref="D672:K672" si="220">IF(((D670="")*AND(D671="")),"",(D670-D671)*3)</f>
        <v>10861.02</v>
      </c>
      <c r="E672" s="23">
        <f t="shared" si="220"/>
        <v>10570.140000000003</v>
      </c>
      <c r="F672" s="23">
        <f t="shared" si="220"/>
        <v>10596.780000000006</v>
      </c>
      <c r="G672" s="23">
        <f t="shared" si="220"/>
        <v>10160.550000000007</v>
      </c>
      <c r="H672" s="23">
        <f t="shared" si="220"/>
        <v>10772.04</v>
      </c>
      <c r="I672" s="23">
        <f t="shared" si="220"/>
        <v>10729.5</v>
      </c>
      <c r="J672" s="23">
        <f t="shared" si="220"/>
        <v>10859.939999999999</v>
      </c>
      <c r="K672" s="23">
        <f t="shared" si="220"/>
        <v>10906.830000000002</v>
      </c>
      <c r="L672" s="103"/>
      <c r="M672" s="103"/>
      <c r="N672" s="103"/>
      <c r="O672" s="103"/>
      <c r="P672" s="103"/>
      <c r="Q672" s="104"/>
      <c r="R672" s="105"/>
    </row>
    <row r="673" spans="1:22">
      <c r="A673" s="110">
        <v>43452</v>
      </c>
      <c r="B673" s="21" t="s">
        <v>133</v>
      </c>
      <c r="C673" s="77">
        <v>28859.87</v>
      </c>
      <c r="D673" s="77">
        <v>28848.61</v>
      </c>
      <c r="E673" s="77">
        <v>28897.31</v>
      </c>
      <c r="F673" s="77">
        <v>28826.36</v>
      </c>
      <c r="G673" s="77">
        <v>28896.91</v>
      </c>
      <c r="H673" s="77">
        <v>28882.37</v>
      </c>
      <c r="I673" s="77">
        <v>28831.85</v>
      </c>
      <c r="J673" s="77">
        <v>28841.98</v>
      </c>
      <c r="K673" s="77">
        <v>26693.360000000001</v>
      </c>
      <c r="L673" s="24">
        <f>IF((K674=""),"",MAX(C675:K675))</f>
        <v>11524.23</v>
      </c>
      <c r="M673" s="30">
        <f>IF(K674="","",MIN(C675:K675))</f>
        <v>4701.6899999999987</v>
      </c>
      <c r="N673" s="24">
        <f>IF((K675=""),"",AVERAGE(C675:K675))</f>
        <v>10579.153333333332</v>
      </c>
      <c r="O673" s="24">
        <f>IF((K674=""),"",STDEV(C675:K675))</f>
        <v>2215.7265399130338</v>
      </c>
      <c r="P673" s="24">
        <f>IF((K674=""),"",O673/N673*100)</f>
        <v>20.944270964781371</v>
      </c>
      <c r="Q673" s="26" t="str">
        <f>IF(K674="","",IF(P673&lt;15,IF(M673&gt;10000,IF(N673&lt;15600,"Pass","Fail"),"Fail"),"Fail"))</f>
        <v>Fail</v>
      </c>
      <c r="R673" s="118">
        <v>121</v>
      </c>
      <c r="S673" s="77" t="s">
        <v>264</v>
      </c>
      <c r="T673" s="97">
        <v>10000</v>
      </c>
      <c r="U673" s="77">
        <v>8090</v>
      </c>
      <c r="V673" s="77">
        <v>12070</v>
      </c>
    </row>
    <row r="674" spans="1:22">
      <c r="A674" s="107"/>
      <c r="B674" s="21" t="s">
        <v>135</v>
      </c>
      <c r="C674" s="77">
        <v>25274.639999999999</v>
      </c>
      <c r="D674" s="77">
        <v>25087.54</v>
      </c>
      <c r="E674" s="77">
        <v>25149.27</v>
      </c>
      <c r="F674" s="77">
        <v>25020.799999999999</v>
      </c>
      <c r="G674" s="77">
        <v>25055.5</v>
      </c>
      <c r="H674" s="77">
        <v>25064.43</v>
      </c>
      <c r="I674" s="77">
        <v>25028.400000000001</v>
      </c>
      <c r="J674" s="77">
        <v>25034.45</v>
      </c>
      <c r="K674" s="77">
        <v>25126.13</v>
      </c>
      <c r="L674" s="99"/>
      <c r="M674" s="99"/>
      <c r="N674" s="99"/>
      <c r="O674" s="99"/>
      <c r="P674" s="99"/>
      <c r="Q674" s="100"/>
      <c r="R674" s="101"/>
      <c r="T674" s="97">
        <v>9000</v>
      </c>
      <c r="U674" s="77">
        <v>8090</v>
      </c>
      <c r="V674" s="77">
        <v>12070</v>
      </c>
    </row>
    <row r="675" spans="1:22" ht="15.75" thickBot="1">
      <c r="A675" s="108"/>
      <c r="B675" s="22" t="s">
        <v>136</v>
      </c>
      <c r="C675" s="23">
        <f>IF(((C673="")*AND(C674="")),"",(C673-C674)*3)</f>
        <v>10755.689999999999</v>
      </c>
      <c r="D675" s="23">
        <f t="shared" ref="D675:K675" si="221">IF(((D673="")*AND(D674="")),"",(D673-D674)*3)</f>
        <v>11283.21</v>
      </c>
      <c r="E675" s="23">
        <f t="shared" si="221"/>
        <v>11244.120000000003</v>
      </c>
      <c r="F675" s="23">
        <f t="shared" si="221"/>
        <v>11416.680000000004</v>
      </c>
      <c r="G675" s="23">
        <f t="shared" si="221"/>
        <v>11524.23</v>
      </c>
      <c r="H675" s="23">
        <f t="shared" si="221"/>
        <v>11453.819999999996</v>
      </c>
      <c r="I675" s="23">
        <f t="shared" si="221"/>
        <v>11410.349999999991</v>
      </c>
      <c r="J675" s="23">
        <f t="shared" si="221"/>
        <v>11422.589999999997</v>
      </c>
      <c r="K675" s="23">
        <f t="shared" si="221"/>
        <v>4701.6899999999987</v>
      </c>
      <c r="L675" s="103"/>
      <c r="M675" s="103"/>
      <c r="N675" s="103"/>
      <c r="O675" s="103"/>
      <c r="P675" s="103"/>
      <c r="Q675" s="104"/>
      <c r="R675" s="105"/>
    </row>
    <row r="676" spans="1:22">
      <c r="A676" s="110">
        <v>43452</v>
      </c>
      <c r="B676" s="21" t="s">
        <v>133</v>
      </c>
      <c r="C676" s="77">
        <v>28856.03</v>
      </c>
      <c r="D676" s="77">
        <v>28795.93</v>
      </c>
      <c r="E676" s="77">
        <v>28842.86</v>
      </c>
      <c r="F676" s="77">
        <v>28801.97</v>
      </c>
      <c r="G676" s="77">
        <v>28871.26</v>
      </c>
      <c r="H676" s="77">
        <v>28850.87</v>
      </c>
      <c r="I676" s="77">
        <v>28786.84</v>
      </c>
      <c r="J676" s="77">
        <v>28787.21</v>
      </c>
      <c r="K676" s="77">
        <v>28856.560000000001</v>
      </c>
      <c r="L676" s="24">
        <f>IF((K677=""),"",MAX(C678:K678))</f>
        <v>11447.279999999995</v>
      </c>
      <c r="M676" s="30">
        <f>IF(K677="","",MIN(C678:K678))</f>
        <v>10744.169999999998</v>
      </c>
      <c r="N676" s="24">
        <f>IF((K678=""),"",AVERAGE(C678:K678))</f>
        <v>11202.789999999999</v>
      </c>
      <c r="O676" s="24">
        <f>IF((K677=""),"",STDEV(C678:K678))</f>
        <v>207.30326806404244</v>
      </c>
      <c r="P676" s="24">
        <f>IF((K677=""),"",O676/N676*100)</f>
        <v>1.8504610732151765</v>
      </c>
      <c r="Q676" s="26" t="str">
        <f>IF(K677="","",IF(P676&lt;15,IF(M676&gt;10000,IF(N676&lt;15600,"Pass","Fail"),"Fail"),"Fail"))</f>
        <v>Pass</v>
      </c>
      <c r="R676" s="118">
        <v>1428</v>
      </c>
      <c r="S676" s="77" t="s">
        <v>265</v>
      </c>
      <c r="T676" s="97">
        <v>10000</v>
      </c>
      <c r="U676" s="77">
        <v>8090</v>
      </c>
      <c r="V676" s="77">
        <v>12070</v>
      </c>
    </row>
    <row r="677" spans="1:22">
      <c r="A677" s="107"/>
      <c r="B677" s="21" t="s">
        <v>135</v>
      </c>
      <c r="C677" s="77">
        <v>25274.639999999999</v>
      </c>
      <c r="D677" s="77">
        <v>25087.54</v>
      </c>
      <c r="E677" s="77">
        <v>25149.27</v>
      </c>
      <c r="F677" s="77">
        <v>25020.799999999999</v>
      </c>
      <c r="G677" s="77">
        <v>25055.5</v>
      </c>
      <c r="H677" s="77">
        <v>25064.43</v>
      </c>
      <c r="I677" s="77">
        <v>25028.400000000001</v>
      </c>
      <c r="J677" s="77">
        <v>25034.45</v>
      </c>
      <c r="K677" s="77">
        <v>25126.13</v>
      </c>
      <c r="L677" s="99"/>
      <c r="M677" s="99"/>
      <c r="N677" s="99"/>
      <c r="O677" s="99"/>
      <c r="P677" s="99"/>
      <c r="Q677" s="100"/>
      <c r="R677" s="101"/>
      <c r="T677" s="97">
        <v>9000</v>
      </c>
      <c r="U677" s="77">
        <v>8090</v>
      </c>
      <c r="V677" s="77">
        <v>12070</v>
      </c>
    </row>
    <row r="678" spans="1:22" ht="15.75" thickBot="1">
      <c r="A678" s="108"/>
      <c r="B678" s="22" t="s">
        <v>136</v>
      </c>
      <c r="C678" s="23">
        <f>IF(((C676="")*AND(C677="")),"",(C676-C677)*3)</f>
        <v>10744.169999999998</v>
      </c>
      <c r="D678" s="23">
        <f t="shared" ref="D678:K678" si="222">IF(((D676="")*AND(D677="")),"",(D676-D677)*3)</f>
        <v>11125.169999999998</v>
      </c>
      <c r="E678" s="23">
        <f t="shared" si="222"/>
        <v>11080.77</v>
      </c>
      <c r="F678" s="23">
        <f t="shared" si="222"/>
        <v>11343.510000000006</v>
      </c>
      <c r="G678" s="23">
        <f t="shared" si="222"/>
        <v>11447.279999999995</v>
      </c>
      <c r="H678" s="23">
        <f t="shared" si="222"/>
        <v>11359.319999999996</v>
      </c>
      <c r="I678" s="23">
        <f t="shared" si="222"/>
        <v>11275.319999999996</v>
      </c>
      <c r="J678" s="23">
        <f t="shared" si="222"/>
        <v>11258.279999999995</v>
      </c>
      <c r="K678" s="23">
        <f t="shared" si="222"/>
        <v>11191.29</v>
      </c>
      <c r="L678" s="103"/>
      <c r="M678" s="103"/>
      <c r="N678" s="103"/>
      <c r="O678" s="103"/>
      <c r="P678" s="103"/>
      <c r="Q678" s="104"/>
      <c r="R678" s="105"/>
    </row>
    <row r="679" spans="1:22">
      <c r="A679" s="110">
        <v>43458</v>
      </c>
      <c r="B679" s="21" t="s">
        <v>133</v>
      </c>
      <c r="C679" s="77">
        <v>29109</v>
      </c>
      <c r="D679" s="77">
        <v>28896</v>
      </c>
      <c r="E679" s="77">
        <v>28876</v>
      </c>
      <c r="F679" s="77">
        <v>28888</v>
      </c>
      <c r="G679" s="77">
        <v>29092</v>
      </c>
      <c r="H679" s="77">
        <v>29090</v>
      </c>
      <c r="I679" s="77">
        <v>28890</v>
      </c>
      <c r="J679" s="77">
        <v>28879</v>
      </c>
      <c r="K679" s="77">
        <v>29071</v>
      </c>
      <c r="L679" s="24">
        <f>IF((K680=""),"",MAX(C681:K681))</f>
        <v>11463</v>
      </c>
      <c r="M679" s="30">
        <f>IF(K680="","",MIN(C681:K681))</f>
        <v>10599</v>
      </c>
      <c r="N679" s="24">
        <f>IF((K681=""),"",AVERAGE(C681:K681))</f>
        <v>11136</v>
      </c>
      <c r="O679" s="24">
        <f>IF((K680=""),"",STDEV(C681:K681))</f>
        <v>261.57264765261675</v>
      </c>
      <c r="P679" s="24">
        <f>IF((K680=""),"",O679/N679*100)</f>
        <v>2.348892310098929</v>
      </c>
      <c r="Q679" s="26" t="str">
        <f>IF(K680="","",IF(P679&lt;15,IF(M679&gt;10000,IF(N679&lt;15600,"Pass","Fail"),"Fail"),"Fail"))</f>
        <v>Pass</v>
      </c>
      <c r="R679" s="118">
        <v>1340</v>
      </c>
      <c r="T679" s="97">
        <v>10000</v>
      </c>
      <c r="U679" s="77">
        <v>8090</v>
      </c>
      <c r="V679" s="77">
        <v>12070</v>
      </c>
    </row>
    <row r="680" spans="1:22">
      <c r="A680" s="107"/>
      <c r="B680" s="21" t="s">
        <v>135</v>
      </c>
      <c r="C680" s="77">
        <v>25288</v>
      </c>
      <c r="D680" s="77">
        <v>25094</v>
      </c>
      <c r="E680" s="77">
        <v>25228</v>
      </c>
      <c r="F680" s="77">
        <v>25168</v>
      </c>
      <c r="G680" s="77">
        <v>25355</v>
      </c>
      <c r="H680" s="77">
        <v>25403</v>
      </c>
      <c r="I680" s="77">
        <v>25123</v>
      </c>
      <c r="J680" s="77">
        <v>25186</v>
      </c>
      <c r="K680" s="77">
        <v>25538</v>
      </c>
      <c r="L680" s="99"/>
      <c r="M680" s="99"/>
      <c r="N680" s="99"/>
      <c r="O680" s="99"/>
      <c r="P680" s="99"/>
      <c r="Q680" s="100"/>
      <c r="R680" s="101"/>
      <c r="T680" s="97">
        <v>9000</v>
      </c>
      <c r="U680" s="77">
        <v>8090</v>
      </c>
      <c r="V680" s="77">
        <v>12070</v>
      </c>
    </row>
    <row r="681" spans="1:22" ht="15.75" thickBot="1">
      <c r="A681" s="108"/>
      <c r="B681" s="22" t="s">
        <v>136</v>
      </c>
      <c r="C681" s="23">
        <f>IF(((C679="")*AND(C680="")),"",(C679-C680)*3)</f>
        <v>11463</v>
      </c>
      <c r="D681" s="23">
        <f t="shared" ref="D681:K681" si="223">IF(((D679="")*AND(D680="")),"",(D679-D680)*3)</f>
        <v>11406</v>
      </c>
      <c r="E681" s="23">
        <f t="shared" si="223"/>
        <v>10944</v>
      </c>
      <c r="F681" s="23">
        <f t="shared" si="223"/>
        <v>11160</v>
      </c>
      <c r="G681" s="23">
        <f t="shared" si="223"/>
        <v>11211</v>
      </c>
      <c r="H681" s="23">
        <f t="shared" si="223"/>
        <v>11061</v>
      </c>
      <c r="I681" s="23">
        <f t="shared" si="223"/>
        <v>11301</v>
      </c>
      <c r="J681" s="23">
        <f t="shared" si="223"/>
        <v>11079</v>
      </c>
      <c r="K681" s="23">
        <f t="shared" si="223"/>
        <v>10599</v>
      </c>
      <c r="L681" s="103"/>
      <c r="M681" s="103"/>
      <c r="N681" s="103"/>
      <c r="O681" s="103"/>
      <c r="P681" s="103"/>
      <c r="Q681" s="104"/>
      <c r="R681" s="105"/>
    </row>
    <row r="682" spans="1:22">
      <c r="A682" s="110">
        <v>43462</v>
      </c>
      <c r="B682" s="21" t="s">
        <v>133</v>
      </c>
      <c r="C682" s="77">
        <v>28813.54</v>
      </c>
      <c r="D682" s="77">
        <v>28782.98</v>
      </c>
      <c r="E682" s="77">
        <v>28782.6</v>
      </c>
      <c r="F682" s="77">
        <v>28774.400000000001</v>
      </c>
      <c r="G682" s="77">
        <v>28778.65</v>
      </c>
      <c r="H682" s="77">
        <v>28819.02</v>
      </c>
      <c r="I682" s="77">
        <v>28779.05</v>
      </c>
      <c r="J682" s="77">
        <v>28769.84</v>
      </c>
      <c r="K682" s="77">
        <v>28880.28</v>
      </c>
      <c r="L682" s="24">
        <f>IF((K683=""),"",MAX(C684:K684))</f>
        <v>11685.300000000007</v>
      </c>
      <c r="M682" s="30">
        <f>IF(K683="","",MIN(C684:K684))</f>
        <v>10756.410000000003</v>
      </c>
      <c r="N682" s="24">
        <f>IF((K684=""),"",AVERAGE(C684:K684))</f>
        <v>11264.253333333334</v>
      </c>
      <c r="O682" s="24">
        <f>IF((K683=""),"",STDEV(C684:K684))</f>
        <v>290.2427888423868</v>
      </c>
      <c r="P682" s="24">
        <f>IF((K683=""),"",O682/N682*100)</f>
        <v>2.5766713536484156</v>
      </c>
      <c r="Q682" s="26" t="str">
        <f>IF(K683="","",IF(P682&lt;15,IF(M682&gt;10000,IF(N682&lt;15600,"Pass","Fail"),"Fail"),"Fail"))</f>
        <v>Pass</v>
      </c>
      <c r="R682" s="118">
        <v>1340</v>
      </c>
      <c r="T682" s="97">
        <v>10000</v>
      </c>
      <c r="U682" s="77">
        <v>8090</v>
      </c>
      <c r="V682" s="77">
        <v>12070</v>
      </c>
    </row>
    <row r="683" spans="1:22">
      <c r="A683" s="107"/>
      <c r="B683" s="21" t="s">
        <v>135</v>
      </c>
      <c r="C683" s="77">
        <v>25228.07</v>
      </c>
      <c r="D683" s="77">
        <v>25090.93</v>
      </c>
      <c r="E683" s="77">
        <v>25102.63</v>
      </c>
      <c r="F683" s="77">
        <v>24991.16</v>
      </c>
      <c r="G683" s="77">
        <v>24883.55</v>
      </c>
      <c r="H683" s="77">
        <v>24937.55</v>
      </c>
      <c r="I683" s="77">
        <v>25024.11</v>
      </c>
      <c r="J683" s="77">
        <v>25015.63</v>
      </c>
      <c r="K683" s="77">
        <v>25113.97</v>
      </c>
      <c r="L683" s="99"/>
      <c r="M683" s="99"/>
      <c r="N683" s="99"/>
      <c r="O683" s="99"/>
      <c r="P683" s="99"/>
      <c r="Q683" s="100"/>
      <c r="R683" s="101"/>
      <c r="T683" s="97">
        <v>9000</v>
      </c>
      <c r="U683" s="77">
        <v>8090</v>
      </c>
      <c r="V683" s="77">
        <v>12070</v>
      </c>
    </row>
    <row r="684" spans="1:22" ht="15.75" thickBot="1">
      <c r="A684" s="108"/>
      <c r="B684" s="22" t="s">
        <v>136</v>
      </c>
      <c r="C684" s="23">
        <f>IF(((C682="")*AND(C683="")),"",(C682-C683)*3)</f>
        <v>10756.410000000003</v>
      </c>
      <c r="D684" s="23">
        <f t="shared" ref="D684:K684" si="224">IF(((D682="")*AND(D683="")),"",(D682-D683)*3)</f>
        <v>11076.149999999998</v>
      </c>
      <c r="E684" s="23">
        <f t="shared" si="224"/>
        <v>11039.909999999993</v>
      </c>
      <c r="F684" s="23">
        <f t="shared" si="224"/>
        <v>11349.720000000005</v>
      </c>
      <c r="G684" s="23">
        <f t="shared" si="224"/>
        <v>11685.300000000007</v>
      </c>
      <c r="H684" s="23">
        <f t="shared" si="224"/>
        <v>11644.410000000003</v>
      </c>
      <c r="I684" s="23">
        <f t="shared" si="224"/>
        <v>11264.819999999996</v>
      </c>
      <c r="J684" s="23">
        <f t="shared" si="224"/>
        <v>11262.629999999997</v>
      </c>
      <c r="K684" s="23">
        <f t="shared" si="224"/>
        <v>11298.929999999993</v>
      </c>
      <c r="L684" s="103"/>
      <c r="M684" s="103"/>
      <c r="N684" s="103"/>
      <c r="O684" s="103"/>
      <c r="P684" s="103"/>
      <c r="Q684" s="104"/>
      <c r="R684" s="105"/>
    </row>
    <row r="685" spans="1:22">
      <c r="A685" s="110">
        <v>43466</v>
      </c>
      <c r="B685" s="21" t="s">
        <v>133</v>
      </c>
      <c r="C685" s="77">
        <v>28963</v>
      </c>
      <c r="D685" s="77">
        <v>28740</v>
      </c>
      <c r="E685" s="77">
        <v>28726</v>
      </c>
      <c r="F685" s="77">
        <v>28737</v>
      </c>
      <c r="G685" s="77">
        <v>28919</v>
      </c>
      <c r="H685" s="77">
        <v>28935</v>
      </c>
      <c r="I685" s="77">
        <v>28737</v>
      </c>
      <c r="J685" s="77">
        <v>28737</v>
      </c>
      <c r="K685" s="77">
        <v>28930</v>
      </c>
      <c r="L685" s="24">
        <f>IF((K686=""),"",MAX(C687:K687))</f>
        <v>11040</v>
      </c>
      <c r="M685" s="30">
        <f>IF(K686="","",MIN(C687:K687))</f>
        <v>10017</v>
      </c>
      <c r="N685" s="24">
        <f>IF((K687=""),"",AVERAGE(C687:K687))</f>
        <v>10649.666666666666</v>
      </c>
      <c r="O685" s="24">
        <f>IF((K686=""),"",STDEV(C687:K687))</f>
        <v>310.36752407428196</v>
      </c>
      <c r="P685" s="24">
        <f>IF((K686=""),"",O685/N685*100)</f>
        <v>2.914340267998516</v>
      </c>
      <c r="Q685" s="26" t="str">
        <f>IF(K686="","",IF(P685&lt;15,IF(M685&gt;10000,IF(N685&lt;15600,"Pass","Fail"),"Fail"),"Fail"))</f>
        <v>Pass</v>
      </c>
      <c r="R685" s="118">
        <v>1340</v>
      </c>
      <c r="S685" s="77" t="s">
        <v>266</v>
      </c>
      <c r="T685" s="97">
        <v>10000</v>
      </c>
      <c r="U685" s="77">
        <v>8090</v>
      </c>
      <c r="V685" s="77">
        <v>12070</v>
      </c>
    </row>
    <row r="686" spans="1:22">
      <c r="A686" s="107"/>
      <c r="B686" s="21" t="s">
        <v>135</v>
      </c>
      <c r="C686" s="77">
        <v>25283</v>
      </c>
      <c r="D686" s="77">
        <v>25115</v>
      </c>
      <c r="E686" s="77">
        <v>25239</v>
      </c>
      <c r="F686" s="77">
        <v>25265</v>
      </c>
      <c r="G686" s="77">
        <v>25580</v>
      </c>
      <c r="H686" s="77">
        <v>25377</v>
      </c>
      <c r="I686" s="77">
        <v>25173</v>
      </c>
      <c r="J686" s="77">
        <v>25142</v>
      </c>
      <c r="K686" s="77">
        <v>25301</v>
      </c>
      <c r="L686" s="99"/>
      <c r="M686" s="99"/>
      <c r="N686" s="99"/>
      <c r="O686" s="99"/>
      <c r="P686" s="99"/>
      <c r="Q686" s="100"/>
      <c r="R686" s="101"/>
      <c r="T686" s="97">
        <v>9000</v>
      </c>
      <c r="U686" s="77">
        <v>8090</v>
      </c>
      <c r="V686" s="77">
        <v>12070</v>
      </c>
    </row>
    <row r="687" spans="1:22" ht="15.75" thickBot="1">
      <c r="A687" s="108"/>
      <c r="B687" s="22" t="s">
        <v>136</v>
      </c>
      <c r="C687" s="23">
        <f>IF(((C685="")*AND(C686="")),"",(C685-C686)*3)</f>
        <v>11040</v>
      </c>
      <c r="D687" s="23">
        <f t="shared" ref="D687:K687" si="225">IF(((D685="")*AND(D686="")),"",(D685-D686)*3)</f>
        <v>10875</v>
      </c>
      <c r="E687" s="23">
        <f t="shared" si="225"/>
        <v>10461</v>
      </c>
      <c r="F687" s="23">
        <f t="shared" si="225"/>
        <v>10416</v>
      </c>
      <c r="G687" s="23">
        <f t="shared" si="225"/>
        <v>10017</v>
      </c>
      <c r="H687" s="23">
        <f t="shared" si="225"/>
        <v>10674</v>
      </c>
      <c r="I687" s="23">
        <f t="shared" si="225"/>
        <v>10692</v>
      </c>
      <c r="J687" s="23">
        <f t="shared" si="225"/>
        <v>10785</v>
      </c>
      <c r="K687" s="23">
        <f t="shared" si="225"/>
        <v>10887</v>
      </c>
      <c r="L687" s="103"/>
      <c r="M687" s="103"/>
      <c r="N687" s="103"/>
      <c r="O687" s="103"/>
      <c r="P687" s="103"/>
      <c r="Q687" s="104"/>
      <c r="R687" s="105"/>
    </row>
  </sheetData>
  <mergeCells count="1">
    <mergeCell ref="S364:S369"/>
  </mergeCells>
  <conditionalFormatting sqref="Q10 Q13 Q16:Q483">
    <cfRule type="cellIs" dxfId="399" priority="399" stopIfTrue="1" operator="equal">
      <formula>"Fail"</formula>
    </cfRule>
    <cfRule type="cellIs" dxfId="398" priority="400" stopIfTrue="1" operator="equal">
      <formula>"Pass"</formula>
    </cfRule>
  </conditionalFormatting>
  <conditionalFormatting sqref="Q484:Q486">
    <cfRule type="cellIs" dxfId="397" priority="397" stopIfTrue="1" operator="equal">
      <formula>"Fail"</formula>
    </cfRule>
    <cfRule type="cellIs" dxfId="396" priority="398" stopIfTrue="1" operator="equal">
      <formula>"Pass"</formula>
    </cfRule>
  </conditionalFormatting>
  <conditionalFormatting sqref="Q487:Q489">
    <cfRule type="cellIs" dxfId="395" priority="395" stopIfTrue="1" operator="equal">
      <formula>"Fail"</formula>
    </cfRule>
    <cfRule type="cellIs" dxfId="394" priority="396" stopIfTrue="1" operator="equal">
      <formula>"Pass"</formula>
    </cfRule>
  </conditionalFormatting>
  <conditionalFormatting sqref="Q490:Q492">
    <cfRule type="cellIs" dxfId="393" priority="393" stopIfTrue="1" operator="equal">
      <formula>"Fail"</formula>
    </cfRule>
    <cfRule type="cellIs" dxfId="392" priority="394" stopIfTrue="1" operator="equal">
      <formula>"Pass"</formula>
    </cfRule>
  </conditionalFormatting>
  <conditionalFormatting sqref="Q493:Q495">
    <cfRule type="cellIs" dxfId="391" priority="391" stopIfTrue="1" operator="equal">
      <formula>"Fail"</formula>
    </cfRule>
    <cfRule type="cellIs" dxfId="390" priority="392" stopIfTrue="1" operator="equal">
      <formula>"Pass"</formula>
    </cfRule>
  </conditionalFormatting>
  <conditionalFormatting sqref="Q496:Q498">
    <cfRule type="cellIs" dxfId="389" priority="389" stopIfTrue="1" operator="equal">
      <formula>"Fail"</formula>
    </cfRule>
    <cfRule type="cellIs" dxfId="388" priority="390" stopIfTrue="1" operator="equal">
      <formula>"Pass"</formula>
    </cfRule>
  </conditionalFormatting>
  <conditionalFormatting sqref="Q499:Q501">
    <cfRule type="cellIs" dxfId="387" priority="387" stopIfTrue="1" operator="equal">
      <formula>"Fail"</formula>
    </cfRule>
    <cfRule type="cellIs" dxfId="386" priority="388" stopIfTrue="1" operator="equal">
      <formula>"Pass"</formula>
    </cfRule>
  </conditionalFormatting>
  <conditionalFormatting sqref="Q502:Q504">
    <cfRule type="cellIs" dxfId="385" priority="385" stopIfTrue="1" operator="equal">
      <formula>"Fail"</formula>
    </cfRule>
    <cfRule type="cellIs" dxfId="384" priority="386" stopIfTrue="1" operator="equal">
      <formula>"Pass"</formula>
    </cfRule>
  </conditionalFormatting>
  <conditionalFormatting sqref="Q505:Q507">
    <cfRule type="cellIs" dxfId="383" priority="383" stopIfTrue="1" operator="equal">
      <formula>"Fail"</formula>
    </cfRule>
    <cfRule type="cellIs" dxfId="382" priority="384" stopIfTrue="1" operator="equal">
      <formula>"Pass"</formula>
    </cfRule>
  </conditionalFormatting>
  <conditionalFormatting sqref="Q508:Q510">
    <cfRule type="cellIs" dxfId="381" priority="381" stopIfTrue="1" operator="equal">
      <formula>"Fail"</formula>
    </cfRule>
    <cfRule type="cellIs" dxfId="380" priority="382" stopIfTrue="1" operator="equal">
      <formula>"Pass"</formula>
    </cfRule>
  </conditionalFormatting>
  <conditionalFormatting sqref="Q511:Q513">
    <cfRule type="cellIs" dxfId="379" priority="379" stopIfTrue="1" operator="equal">
      <formula>"Fail"</formula>
    </cfRule>
    <cfRule type="cellIs" dxfId="378" priority="380" stopIfTrue="1" operator="equal">
      <formula>"Pass"</formula>
    </cfRule>
  </conditionalFormatting>
  <conditionalFormatting sqref="Q514:Q516">
    <cfRule type="cellIs" dxfId="377" priority="377" stopIfTrue="1" operator="equal">
      <formula>"Fail"</formula>
    </cfRule>
    <cfRule type="cellIs" dxfId="376" priority="378" stopIfTrue="1" operator="equal">
      <formula>"Pass"</formula>
    </cfRule>
  </conditionalFormatting>
  <conditionalFormatting sqref="Q517:Q519">
    <cfRule type="cellIs" dxfId="375" priority="375" stopIfTrue="1" operator="equal">
      <formula>"Fail"</formula>
    </cfRule>
    <cfRule type="cellIs" dxfId="374" priority="376" stopIfTrue="1" operator="equal">
      <formula>"Pass"</formula>
    </cfRule>
  </conditionalFormatting>
  <conditionalFormatting sqref="Q520:Q522">
    <cfRule type="cellIs" dxfId="373" priority="373" stopIfTrue="1" operator="equal">
      <formula>"Fail"</formula>
    </cfRule>
    <cfRule type="cellIs" dxfId="372" priority="374" stopIfTrue="1" operator="equal">
      <formula>"Pass"</formula>
    </cfRule>
  </conditionalFormatting>
  <conditionalFormatting sqref="Q523:Q525">
    <cfRule type="cellIs" dxfId="371" priority="371" stopIfTrue="1" operator="equal">
      <formula>"Fail"</formula>
    </cfRule>
    <cfRule type="cellIs" dxfId="370" priority="372" stopIfTrue="1" operator="equal">
      <formula>"Pass"</formula>
    </cfRule>
  </conditionalFormatting>
  <conditionalFormatting sqref="Q526:Q528">
    <cfRule type="cellIs" dxfId="369" priority="369" stopIfTrue="1" operator="equal">
      <formula>"Fail"</formula>
    </cfRule>
    <cfRule type="cellIs" dxfId="368" priority="370" stopIfTrue="1" operator="equal">
      <formula>"Pass"</formula>
    </cfRule>
  </conditionalFormatting>
  <conditionalFormatting sqref="Q529:Q531">
    <cfRule type="cellIs" dxfId="367" priority="367" stopIfTrue="1" operator="equal">
      <formula>"Fail"</formula>
    </cfRule>
    <cfRule type="cellIs" dxfId="366" priority="368" stopIfTrue="1" operator="equal">
      <formula>"Pass"</formula>
    </cfRule>
  </conditionalFormatting>
  <conditionalFormatting sqref="Q532:Q534">
    <cfRule type="cellIs" dxfId="365" priority="365" stopIfTrue="1" operator="equal">
      <formula>"Fail"</formula>
    </cfRule>
    <cfRule type="cellIs" dxfId="364" priority="366" stopIfTrue="1" operator="equal">
      <formula>"Pass"</formula>
    </cfRule>
  </conditionalFormatting>
  <conditionalFormatting sqref="Q535:Q537">
    <cfRule type="cellIs" dxfId="363" priority="363" stopIfTrue="1" operator="equal">
      <formula>"Fail"</formula>
    </cfRule>
    <cfRule type="cellIs" dxfId="362" priority="364" stopIfTrue="1" operator="equal">
      <formula>"Pass"</formula>
    </cfRule>
  </conditionalFormatting>
  <conditionalFormatting sqref="Q538:Q540">
    <cfRule type="cellIs" dxfId="361" priority="361" stopIfTrue="1" operator="equal">
      <formula>"Fail"</formula>
    </cfRule>
    <cfRule type="cellIs" dxfId="360" priority="362" stopIfTrue="1" operator="equal">
      <formula>"Pass"</formula>
    </cfRule>
  </conditionalFormatting>
  <conditionalFormatting sqref="Q541:Q543">
    <cfRule type="cellIs" dxfId="359" priority="359" stopIfTrue="1" operator="equal">
      <formula>"Fail"</formula>
    </cfRule>
    <cfRule type="cellIs" dxfId="358" priority="360" stopIfTrue="1" operator="equal">
      <formula>"Pass"</formula>
    </cfRule>
  </conditionalFormatting>
  <conditionalFormatting sqref="Q535:Q537">
    <cfRule type="cellIs" dxfId="357" priority="357" stopIfTrue="1" operator="equal">
      <formula>"Fail"</formula>
    </cfRule>
    <cfRule type="cellIs" dxfId="356" priority="358" stopIfTrue="1" operator="equal">
      <formula>"Pass"</formula>
    </cfRule>
  </conditionalFormatting>
  <conditionalFormatting sqref="Q544:Q546">
    <cfRule type="cellIs" dxfId="355" priority="355" stopIfTrue="1" operator="equal">
      <formula>"Fail"</formula>
    </cfRule>
    <cfRule type="cellIs" dxfId="354" priority="356" stopIfTrue="1" operator="equal">
      <formula>"Pass"</formula>
    </cfRule>
  </conditionalFormatting>
  <conditionalFormatting sqref="Q547:Q549">
    <cfRule type="cellIs" dxfId="353" priority="353" stopIfTrue="1" operator="equal">
      <formula>"Fail"</formula>
    </cfRule>
    <cfRule type="cellIs" dxfId="352" priority="354" stopIfTrue="1" operator="equal">
      <formula>"Pass"</formula>
    </cfRule>
  </conditionalFormatting>
  <conditionalFormatting sqref="Q550:Q552">
    <cfRule type="cellIs" dxfId="351" priority="351" stopIfTrue="1" operator="equal">
      <formula>"Fail"</formula>
    </cfRule>
    <cfRule type="cellIs" dxfId="350" priority="352" stopIfTrue="1" operator="equal">
      <formula>"Pass"</formula>
    </cfRule>
  </conditionalFormatting>
  <conditionalFormatting sqref="Q553:Q555">
    <cfRule type="cellIs" dxfId="349" priority="349" stopIfTrue="1" operator="equal">
      <formula>"Fail"</formula>
    </cfRule>
    <cfRule type="cellIs" dxfId="348" priority="350" stopIfTrue="1" operator="equal">
      <formula>"Pass"</formula>
    </cfRule>
  </conditionalFormatting>
  <conditionalFormatting sqref="Q556:Q558">
    <cfRule type="cellIs" dxfId="347" priority="347" stopIfTrue="1" operator="equal">
      <formula>"Fail"</formula>
    </cfRule>
    <cfRule type="cellIs" dxfId="346" priority="348" stopIfTrue="1" operator="equal">
      <formula>"Pass"</formula>
    </cfRule>
  </conditionalFormatting>
  <conditionalFormatting sqref="Q559:Q561">
    <cfRule type="cellIs" dxfId="345" priority="345" stopIfTrue="1" operator="equal">
      <formula>"Fail"</formula>
    </cfRule>
    <cfRule type="cellIs" dxfId="344" priority="346" stopIfTrue="1" operator="equal">
      <formula>"Pass"</formula>
    </cfRule>
  </conditionalFormatting>
  <conditionalFormatting sqref="Q556:Q558">
    <cfRule type="cellIs" dxfId="343" priority="343" stopIfTrue="1" operator="equal">
      <formula>"Fail"</formula>
    </cfRule>
    <cfRule type="cellIs" dxfId="342" priority="344" stopIfTrue="1" operator="equal">
      <formula>"Pass"</formula>
    </cfRule>
  </conditionalFormatting>
  <conditionalFormatting sqref="Q559:Q561">
    <cfRule type="cellIs" dxfId="341" priority="341" stopIfTrue="1" operator="equal">
      <formula>"Fail"</formula>
    </cfRule>
    <cfRule type="cellIs" dxfId="340" priority="342" stopIfTrue="1" operator="equal">
      <formula>"Pass"</formula>
    </cfRule>
  </conditionalFormatting>
  <conditionalFormatting sqref="Q559:Q561">
    <cfRule type="cellIs" dxfId="339" priority="339" stopIfTrue="1" operator="equal">
      <formula>"Fail"</formula>
    </cfRule>
    <cfRule type="cellIs" dxfId="338" priority="340" stopIfTrue="1" operator="equal">
      <formula>"Pass"</formula>
    </cfRule>
  </conditionalFormatting>
  <conditionalFormatting sqref="Q559:Q618">
    <cfRule type="cellIs" dxfId="337" priority="337" stopIfTrue="1" operator="equal">
      <formula>"Fail"</formula>
    </cfRule>
    <cfRule type="cellIs" dxfId="336" priority="338" stopIfTrue="1" operator="equal">
      <formula>"Pass"</formula>
    </cfRule>
  </conditionalFormatting>
  <conditionalFormatting sqref="Q559:Q618">
    <cfRule type="cellIs" dxfId="335" priority="335" stopIfTrue="1" operator="equal">
      <formula>"Fail"</formula>
    </cfRule>
    <cfRule type="cellIs" dxfId="334" priority="336" stopIfTrue="1" operator="equal">
      <formula>"Pass"</formula>
    </cfRule>
  </conditionalFormatting>
  <conditionalFormatting sqref="Q565:Q567">
    <cfRule type="cellIs" dxfId="333" priority="333" stopIfTrue="1" operator="equal">
      <formula>"Fail"</formula>
    </cfRule>
    <cfRule type="cellIs" dxfId="332" priority="334" stopIfTrue="1" operator="equal">
      <formula>"Pass"</formula>
    </cfRule>
  </conditionalFormatting>
  <conditionalFormatting sqref="Q568">
    <cfRule type="cellIs" dxfId="331" priority="331" stopIfTrue="1" operator="equal">
      <formula>"Fail"</formula>
    </cfRule>
    <cfRule type="cellIs" dxfId="330" priority="332" stopIfTrue="1" operator="equal">
      <formula>"Pass"</formula>
    </cfRule>
  </conditionalFormatting>
  <conditionalFormatting sqref="Q574">
    <cfRule type="cellIs" dxfId="329" priority="329" stopIfTrue="1" operator="equal">
      <formula>"Fail"</formula>
    </cfRule>
    <cfRule type="cellIs" dxfId="328" priority="330" stopIfTrue="1" operator="equal">
      <formula>"Pass"</formula>
    </cfRule>
  </conditionalFormatting>
  <conditionalFormatting sqref="Q619:Q621">
    <cfRule type="cellIs" dxfId="327" priority="327" stopIfTrue="1" operator="equal">
      <formula>"Fail"</formula>
    </cfRule>
    <cfRule type="cellIs" dxfId="326" priority="328" stopIfTrue="1" operator="equal">
      <formula>"Pass"</formula>
    </cfRule>
  </conditionalFormatting>
  <conditionalFormatting sqref="Q619:Q621">
    <cfRule type="cellIs" dxfId="325" priority="325" stopIfTrue="1" operator="equal">
      <formula>"Fail"</formula>
    </cfRule>
    <cfRule type="cellIs" dxfId="324" priority="326" stopIfTrue="1" operator="equal">
      <formula>"Pass"</formula>
    </cfRule>
  </conditionalFormatting>
  <conditionalFormatting sqref="Q622:Q624">
    <cfRule type="cellIs" dxfId="323" priority="323" stopIfTrue="1" operator="equal">
      <formula>"Fail"</formula>
    </cfRule>
    <cfRule type="cellIs" dxfId="322" priority="324" stopIfTrue="1" operator="equal">
      <formula>"Pass"</formula>
    </cfRule>
  </conditionalFormatting>
  <conditionalFormatting sqref="Q622:Q624">
    <cfRule type="cellIs" dxfId="321" priority="321" stopIfTrue="1" operator="equal">
      <formula>"Fail"</formula>
    </cfRule>
    <cfRule type="cellIs" dxfId="320" priority="322" stopIfTrue="1" operator="equal">
      <formula>"Pass"</formula>
    </cfRule>
  </conditionalFormatting>
  <conditionalFormatting sqref="Q625:Q627">
    <cfRule type="cellIs" dxfId="319" priority="319" stopIfTrue="1" operator="equal">
      <formula>"Fail"</formula>
    </cfRule>
    <cfRule type="cellIs" dxfId="318" priority="320" stopIfTrue="1" operator="equal">
      <formula>"Pass"</formula>
    </cfRule>
  </conditionalFormatting>
  <conditionalFormatting sqref="Q625:Q627">
    <cfRule type="cellIs" dxfId="317" priority="317" stopIfTrue="1" operator="equal">
      <formula>"Fail"</formula>
    </cfRule>
    <cfRule type="cellIs" dxfId="316" priority="318" stopIfTrue="1" operator="equal">
      <formula>"Pass"</formula>
    </cfRule>
  </conditionalFormatting>
  <conditionalFormatting sqref="Q628:Q630">
    <cfRule type="cellIs" dxfId="315" priority="315" stopIfTrue="1" operator="equal">
      <formula>"Fail"</formula>
    </cfRule>
    <cfRule type="cellIs" dxfId="314" priority="316" stopIfTrue="1" operator="equal">
      <formula>"Pass"</formula>
    </cfRule>
  </conditionalFormatting>
  <conditionalFormatting sqref="Q628:Q630">
    <cfRule type="cellIs" dxfId="313" priority="313" stopIfTrue="1" operator="equal">
      <formula>"Fail"</formula>
    </cfRule>
    <cfRule type="cellIs" dxfId="312" priority="314" stopIfTrue="1" operator="equal">
      <formula>"Pass"</formula>
    </cfRule>
  </conditionalFormatting>
  <conditionalFormatting sqref="Q631:Q633">
    <cfRule type="cellIs" dxfId="311" priority="311" stopIfTrue="1" operator="equal">
      <formula>"Fail"</formula>
    </cfRule>
    <cfRule type="cellIs" dxfId="310" priority="312" stopIfTrue="1" operator="equal">
      <formula>"Pass"</formula>
    </cfRule>
  </conditionalFormatting>
  <conditionalFormatting sqref="Q631:Q633">
    <cfRule type="cellIs" dxfId="309" priority="309" stopIfTrue="1" operator="equal">
      <formula>"Fail"</formula>
    </cfRule>
    <cfRule type="cellIs" dxfId="308" priority="310" stopIfTrue="1" operator="equal">
      <formula>"Pass"</formula>
    </cfRule>
  </conditionalFormatting>
  <conditionalFormatting sqref="Q634:Q636">
    <cfRule type="cellIs" dxfId="307" priority="307" stopIfTrue="1" operator="equal">
      <formula>"Fail"</formula>
    </cfRule>
    <cfRule type="cellIs" dxfId="306" priority="308" stopIfTrue="1" operator="equal">
      <formula>"Pass"</formula>
    </cfRule>
  </conditionalFormatting>
  <conditionalFormatting sqref="Q634:Q636">
    <cfRule type="cellIs" dxfId="305" priority="305" stopIfTrue="1" operator="equal">
      <formula>"Fail"</formula>
    </cfRule>
    <cfRule type="cellIs" dxfId="304" priority="306" stopIfTrue="1" operator="equal">
      <formula>"Pass"</formula>
    </cfRule>
  </conditionalFormatting>
  <conditionalFormatting sqref="Q637:Q639">
    <cfRule type="cellIs" dxfId="303" priority="303" stopIfTrue="1" operator="equal">
      <formula>"Fail"</formula>
    </cfRule>
    <cfRule type="cellIs" dxfId="302" priority="304" stopIfTrue="1" operator="equal">
      <formula>"Pass"</formula>
    </cfRule>
  </conditionalFormatting>
  <conditionalFormatting sqref="Q637:Q639">
    <cfRule type="cellIs" dxfId="301" priority="301" stopIfTrue="1" operator="equal">
      <formula>"Fail"</formula>
    </cfRule>
    <cfRule type="cellIs" dxfId="300" priority="302" stopIfTrue="1" operator="equal">
      <formula>"Pass"</formula>
    </cfRule>
  </conditionalFormatting>
  <conditionalFormatting sqref="Q640:Q642">
    <cfRule type="cellIs" dxfId="299" priority="299" stopIfTrue="1" operator="equal">
      <formula>"Fail"</formula>
    </cfRule>
    <cfRule type="cellIs" dxfId="298" priority="300" stopIfTrue="1" operator="equal">
      <formula>"Pass"</formula>
    </cfRule>
  </conditionalFormatting>
  <conditionalFormatting sqref="Q640:Q642">
    <cfRule type="cellIs" dxfId="297" priority="297" stopIfTrue="1" operator="equal">
      <formula>"Fail"</formula>
    </cfRule>
    <cfRule type="cellIs" dxfId="296" priority="298" stopIfTrue="1" operator="equal">
      <formula>"Pass"</formula>
    </cfRule>
  </conditionalFormatting>
  <conditionalFormatting sqref="Q643:Q645">
    <cfRule type="cellIs" dxfId="295" priority="295" stopIfTrue="1" operator="equal">
      <formula>"Fail"</formula>
    </cfRule>
    <cfRule type="cellIs" dxfId="294" priority="296" stopIfTrue="1" operator="equal">
      <formula>"Pass"</formula>
    </cfRule>
  </conditionalFormatting>
  <conditionalFormatting sqref="Q643:Q645">
    <cfRule type="cellIs" dxfId="293" priority="293" stopIfTrue="1" operator="equal">
      <formula>"Fail"</formula>
    </cfRule>
    <cfRule type="cellIs" dxfId="292" priority="294" stopIfTrue="1" operator="equal">
      <formula>"Pass"</formula>
    </cfRule>
  </conditionalFormatting>
  <conditionalFormatting sqref="Q646:Q648">
    <cfRule type="cellIs" dxfId="291" priority="291" stopIfTrue="1" operator="equal">
      <formula>"Fail"</formula>
    </cfRule>
    <cfRule type="cellIs" dxfId="290" priority="292" stopIfTrue="1" operator="equal">
      <formula>"Pass"</formula>
    </cfRule>
  </conditionalFormatting>
  <conditionalFormatting sqref="Q646:Q648">
    <cfRule type="cellIs" dxfId="289" priority="289" stopIfTrue="1" operator="equal">
      <formula>"Fail"</formula>
    </cfRule>
    <cfRule type="cellIs" dxfId="288" priority="290" stopIfTrue="1" operator="equal">
      <formula>"Pass"</formula>
    </cfRule>
  </conditionalFormatting>
  <conditionalFormatting sqref="Q649:Q651">
    <cfRule type="cellIs" dxfId="287" priority="287" stopIfTrue="1" operator="equal">
      <formula>"Fail"</formula>
    </cfRule>
    <cfRule type="cellIs" dxfId="286" priority="288" stopIfTrue="1" operator="equal">
      <formula>"Pass"</formula>
    </cfRule>
  </conditionalFormatting>
  <conditionalFormatting sqref="Q649:Q651">
    <cfRule type="cellIs" dxfId="285" priority="285" stopIfTrue="1" operator="equal">
      <formula>"Fail"</formula>
    </cfRule>
    <cfRule type="cellIs" dxfId="284" priority="286" stopIfTrue="1" operator="equal">
      <formula>"Pass"</formula>
    </cfRule>
  </conditionalFormatting>
  <conditionalFormatting sqref="Q652:Q654">
    <cfRule type="cellIs" dxfId="283" priority="283" stopIfTrue="1" operator="equal">
      <formula>"Fail"</formula>
    </cfRule>
    <cfRule type="cellIs" dxfId="282" priority="284" stopIfTrue="1" operator="equal">
      <formula>"Pass"</formula>
    </cfRule>
  </conditionalFormatting>
  <conditionalFormatting sqref="Q652:Q654">
    <cfRule type="cellIs" dxfId="281" priority="281" stopIfTrue="1" operator="equal">
      <formula>"Fail"</formula>
    </cfRule>
    <cfRule type="cellIs" dxfId="280" priority="282" stopIfTrue="1" operator="equal">
      <formula>"Pass"</formula>
    </cfRule>
  </conditionalFormatting>
  <conditionalFormatting sqref="Q655:Q657">
    <cfRule type="cellIs" dxfId="279" priority="279" stopIfTrue="1" operator="equal">
      <formula>"Fail"</formula>
    </cfRule>
    <cfRule type="cellIs" dxfId="278" priority="280" stopIfTrue="1" operator="equal">
      <formula>"Pass"</formula>
    </cfRule>
  </conditionalFormatting>
  <conditionalFormatting sqref="Q655:Q657">
    <cfRule type="cellIs" dxfId="277" priority="277" stopIfTrue="1" operator="equal">
      <formula>"Fail"</formula>
    </cfRule>
    <cfRule type="cellIs" dxfId="276" priority="278" stopIfTrue="1" operator="equal">
      <formula>"Pass"</formula>
    </cfRule>
  </conditionalFormatting>
  <conditionalFormatting sqref="Q658:Q660">
    <cfRule type="cellIs" dxfId="275" priority="275" stopIfTrue="1" operator="equal">
      <formula>"Fail"</formula>
    </cfRule>
    <cfRule type="cellIs" dxfId="274" priority="276" stopIfTrue="1" operator="equal">
      <formula>"Pass"</formula>
    </cfRule>
  </conditionalFormatting>
  <conditionalFormatting sqref="Q658:Q660">
    <cfRule type="cellIs" dxfId="273" priority="273" stopIfTrue="1" operator="equal">
      <formula>"Fail"</formula>
    </cfRule>
    <cfRule type="cellIs" dxfId="272" priority="274" stopIfTrue="1" operator="equal">
      <formula>"Pass"</formula>
    </cfRule>
  </conditionalFormatting>
  <conditionalFormatting sqref="Q661:Q663">
    <cfRule type="cellIs" dxfId="271" priority="271" stopIfTrue="1" operator="equal">
      <formula>"Fail"</formula>
    </cfRule>
    <cfRule type="cellIs" dxfId="270" priority="272" stopIfTrue="1" operator="equal">
      <formula>"Pass"</formula>
    </cfRule>
  </conditionalFormatting>
  <conditionalFormatting sqref="Q661:Q663">
    <cfRule type="cellIs" dxfId="269" priority="269" stopIfTrue="1" operator="equal">
      <formula>"Fail"</formula>
    </cfRule>
    <cfRule type="cellIs" dxfId="268" priority="270" stopIfTrue="1" operator="equal">
      <formula>"Pass"</formula>
    </cfRule>
  </conditionalFormatting>
  <conditionalFormatting sqref="Q664:Q666">
    <cfRule type="cellIs" dxfId="267" priority="267" stopIfTrue="1" operator="equal">
      <formula>"Fail"</formula>
    </cfRule>
    <cfRule type="cellIs" dxfId="266" priority="268" stopIfTrue="1" operator="equal">
      <formula>"Pass"</formula>
    </cfRule>
  </conditionalFormatting>
  <conditionalFormatting sqref="Q664:Q666">
    <cfRule type="cellIs" dxfId="265" priority="265" stopIfTrue="1" operator="equal">
      <formula>"Fail"</formula>
    </cfRule>
    <cfRule type="cellIs" dxfId="264" priority="266" stopIfTrue="1" operator="equal">
      <formula>"Pass"</formula>
    </cfRule>
  </conditionalFormatting>
  <conditionalFormatting sqref="Q667:Q669">
    <cfRule type="cellIs" dxfId="263" priority="263" stopIfTrue="1" operator="equal">
      <formula>"Fail"</formula>
    </cfRule>
    <cfRule type="cellIs" dxfId="262" priority="264" stopIfTrue="1" operator="equal">
      <formula>"Pass"</formula>
    </cfRule>
  </conditionalFormatting>
  <conditionalFormatting sqref="Q667:Q669">
    <cfRule type="cellIs" dxfId="261" priority="261" stopIfTrue="1" operator="equal">
      <formula>"Fail"</formula>
    </cfRule>
    <cfRule type="cellIs" dxfId="260" priority="262" stopIfTrue="1" operator="equal">
      <formula>"Pass"</formula>
    </cfRule>
  </conditionalFormatting>
  <conditionalFormatting sqref="Q670:Q672">
    <cfRule type="cellIs" dxfId="259" priority="259" stopIfTrue="1" operator="equal">
      <formula>"Fail"</formula>
    </cfRule>
    <cfRule type="cellIs" dxfId="258" priority="260" stopIfTrue="1" operator="equal">
      <formula>"Pass"</formula>
    </cfRule>
  </conditionalFormatting>
  <conditionalFormatting sqref="Q670:Q672">
    <cfRule type="cellIs" dxfId="257" priority="257" stopIfTrue="1" operator="equal">
      <formula>"Fail"</formula>
    </cfRule>
    <cfRule type="cellIs" dxfId="256" priority="258" stopIfTrue="1" operator="equal">
      <formula>"Pass"</formula>
    </cfRule>
  </conditionalFormatting>
  <conditionalFormatting sqref="Q673:Q675">
    <cfRule type="cellIs" dxfId="255" priority="255" stopIfTrue="1" operator="equal">
      <formula>"Fail"</formula>
    </cfRule>
    <cfRule type="cellIs" dxfId="254" priority="256" stopIfTrue="1" operator="equal">
      <formula>"Pass"</formula>
    </cfRule>
  </conditionalFormatting>
  <conditionalFormatting sqref="Q673:Q675">
    <cfRule type="cellIs" dxfId="253" priority="253" stopIfTrue="1" operator="equal">
      <formula>"Fail"</formula>
    </cfRule>
    <cfRule type="cellIs" dxfId="252" priority="254" stopIfTrue="1" operator="equal">
      <formula>"Pass"</formula>
    </cfRule>
  </conditionalFormatting>
  <conditionalFormatting sqref="Q676:Q678">
    <cfRule type="cellIs" dxfId="251" priority="251" stopIfTrue="1" operator="equal">
      <formula>"Fail"</formula>
    </cfRule>
    <cfRule type="cellIs" dxfId="250" priority="252" stopIfTrue="1" operator="equal">
      <formula>"Pass"</formula>
    </cfRule>
  </conditionalFormatting>
  <conditionalFormatting sqref="Q676:Q678">
    <cfRule type="cellIs" dxfId="249" priority="249" stopIfTrue="1" operator="equal">
      <formula>"Fail"</formula>
    </cfRule>
    <cfRule type="cellIs" dxfId="248" priority="250" stopIfTrue="1" operator="equal">
      <formula>"Pass"</formula>
    </cfRule>
  </conditionalFormatting>
  <conditionalFormatting sqref="Q679:Q681">
    <cfRule type="cellIs" dxfId="247" priority="247" stopIfTrue="1" operator="equal">
      <formula>"Fail"</formula>
    </cfRule>
    <cfRule type="cellIs" dxfId="246" priority="248" stopIfTrue="1" operator="equal">
      <formula>"Pass"</formula>
    </cfRule>
  </conditionalFormatting>
  <conditionalFormatting sqref="Q679:Q681">
    <cfRule type="cellIs" dxfId="245" priority="245" stopIfTrue="1" operator="equal">
      <formula>"Fail"</formula>
    </cfRule>
    <cfRule type="cellIs" dxfId="244" priority="246" stopIfTrue="1" operator="equal">
      <formula>"Pass"</formula>
    </cfRule>
  </conditionalFormatting>
  <conditionalFormatting sqref="Q679:Q681">
    <cfRule type="cellIs" dxfId="243" priority="243" stopIfTrue="1" operator="equal">
      <formula>"Fail"</formula>
    </cfRule>
    <cfRule type="cellIs" dxfId="242" priority="244" stopIfTrue="1" operator="equal">
      <formula>"Pass"</formula>
    </cfRule>
  </conditionalFormatting>
  <conditionalFormatting sqref="Q679:Q681">
    <cfRule type="cellIs" dxfId="241" priority="241" stopIfTrue="1" operator="equal">
      <formula>"Fail"</formula>
    </cfRule>
    <cfRule type="cellIs" dxfId="240" priority="242" stopIfTrue="1" operator="equal">
      <formula>"Pass"</formula>
    </cfRule>
  </conditionalFormatting>
  <conditionalFormatting sqref="Q682:Q684">
    <cfRule type="cellIs" dxfId="239" priority="239" stopIfTrue="1" operator="equal">
      <formula>"Fail"</formula>
    </cfRule>
    <cfRule type="cellIs" dxfId="238" priority="240" stopIfTrue="1" operator="equal">
      <formula>"Pass"</formula>
    </cfRule>
  </conditionalFormatting>
  <conditionalFormatting sqref="Q682:Q684">
    <cfRule type="cellIs" dxfId="237" priority="237" stopIfTrue="1" operator="equal">
      <formula>"Fail"</formula>
    </cfRule>
    <cfRule type="cellIs" dxfId="236" priority="238" stopIfTrue="1" operator="equal">
      <formula>"Pass"</formula>
    </cfRule>
  </conditionalFormatting>
  <conditionalFormatting sqref="Q682:Q684">
    <cfRule type="cellIs" dxfId="235" priority="235" stopIfTrue="1" operator="equal">
      <formula>"Fail"</formula>
    </cfRule>
    <cfRule type="cellIs" dxfId="234" priority="236" stopIfTrue="1" operator="equal">
      <formula>"Pass"</formula>
    </cfRule>
  </conditionalFormatting>
  <conditionalFormatting sqref="Q682:Q684">
    <cfRule type="cellIs" dxfId="233" priority="233" stopIfTrue="1" operator="equal">
      <formula>"Fail"</formula>
    </cfRule>
    <cfRule type="cellIs" dxfId="232" priority="234" stopIfTrue="1" operator="equal">
      <formula>"Pass"</formula>
    </cfRule>
  </conditionalFormatting>
  <conditionalFormatting sqref="Q685:Q687">
    <cfRule type="cellIs" dxfId="231" priority="231" stopIfTrue="1" operator="equal">
      <formula>"Fail"</formula>
    </cfRule>
    <cfRule type="cellIs" dxfId="230" priority="232" stopIfTrue="1" operator="equal">
      <formula>"Pass"</formula>
    </cfRule>
  </conditionalFormatting>
  <conditionalFormatting sqref="Q685:Q687">
    <cfRule type="cellIs" dxfId="229" priority="229" stopIfTrue="1" operator="equal">
      <formula>"Fail"</formula>
    </cfRule>
    <cfRule type="cellIs" dxfId="228" priority="230" stopIfTrue="1" operator="equal">
      <formula>"Pass"</formula>
    </cfRule>
  </conditionalFormatting>
  <conditionalFormatting sqref="Q685:Q687">
    <cfRule type="cellIs" dxfId="227" priority="227" stopIfTrue="1" operator="equal">
      <formula>"Fail"</formula>
    </cfRule>
    <cfRule type="cellIs" dxfId="226" priority="228" stopIfTrue="1" operator="equal">
      <formula>"Pass"</formula>
    </cfRule>
  </conditionalFormatting>
  <conditionalFormatting sqref="Q685:Q687">
    <cfRule type="cellIs" dxfId="225" priority="225" stopIfTrue="1" operator="equal">
      <formula>"Fail"</formula>
    </cfRule>
    <cfRule type="cellIs" dxfId="224" priority="226" stopIfTrue="1" operator="equal">
      <formula>"Pass"</formula>
    </cfRule>
  </conditionalFormatting>
  <conditionalFormatting sqref="Q682:Q684">
    <cfRule type="cellIs" dxfId="223" priority="223" stopIfTrue="1" operator="equal">
      <formula>"Fail"</formula>
    </cfRule>
    <cfRule type="cellIs" dxfId="222" priority="224" stopIfTrue="1" operator="equal">
      <formula>"Pass"</formula>
    </cfRule>
  </conditionalFormatting>
  <conditionalFormatting sqref="Q682:Q684">
    <cfRule type="cellIs" dxfId="221" priority="221" stopIfTrue="1" operator="equal">
      <formula>"Fail"</formula>
    </cfRule>
    <cfRule type="cellIs" dxfId="220" priority="222" stopIfTrue="1" operator="equal">
      <formula>"Pass"</formula>
    </cfRule>
  </conditionalFormatting>
  <conditionalFormatting sqref="Q682:Q684">
    <cfRule type="cellIs" dxfId="219" priority="219" stopIfTrue="1" operator="equal">
      <formula>"Fail"</formula>
    </cfRule>
    <cfRule type="cellIs" dxfId="218" priority="220" stopIfTrue="1" operator="equal">
      <formula>"Pass"</formula>
    </cfRule>
  </conditionalFormatting>
  <conditionalFormatting sqref="Q682:Q684">
    <cfRule type="cellIs" dxfId="217" priority="217" stopIfTrue="1" operator="equal">
      <formula>"Fail"</formula>
    </cfRule>
    <cfRule type="cellIs" dxfId="216" priority="218" stopIfTrue="1" operator="equal">
      <formula>"Pass"</formula>
    </cfRule>
  </conditionalFormatting>
  <conditionalFormatting sqref="Q685:Q687">
    <cfRule type="cellIs" dxfId="215" priority="215" stopIfTrue="1" operator="equal">
      <formula>"Fail"</formula>
    </cfRule>
    <cfRule type="cellIs" dxfId="214" priority="216" stopIfTrue="1" operator="equal">
      <formula>"Pass"</formula>
    </cfRule>
  </conditionalFormatting>
  <conditionalFormatting sqref="Q685:Q687">
    <cfRule type="cellIs" dxfId="213" priority="213" stopIfTrue="1" operator="equal">
      <formula>"Fail"</formula>
    </cfRule>
    <cfRule type="cellIs" dxfId="212" priority="214" stopIfTrue="1" operator="equal">
      <formula>"Pass"</formula>
    </cfRule>
  </conditionalFormatting>
  <conditionalFormatting sqref="Q685:Q687">
    <cfRule type="cellIs" dxfId="211" priority="211" stopIfTrue="1" operator="equal">
      <formula>"Fail"</formula>
    </cfRule>
    <cfRule type="cellIs" dxfId="210" priority="212" stopIfTrue="1" operator="equal">
      <formula>"Pass"</formula>
    </cfRule>
  </conditionalFormatting>
  <conditionalFormatting sqref="Q685:Q687">
    <cfRule type="cellIs" dxfId="209" priority="209" stopIfTrue="1" operator="equal">
      <formula>"Fail"</formula>
    </cfRule>
    <cfRule type="cellIs" dxfId="208" priority="210" stopIfTrue="1" operator="equal">
      <formula>"Pass"</formula>
    </cfRule>
  </conditionalFormatting>
  <conditionalFormatting sqref="Q685:Q687">
    <cfRule type="cellIs" dxfId="207" priority="207" stopIfTrue="1" operator="equal">
      <formula>"Fail"</formula>
    </cfRule>
    <cfRule type="cellIs" dxfId="206" priority="208" stopIfTrue="1" operator="equal">
      <formula>"Pass"</formula>
    </cfRule>
  </conditionalFormatting>
  <conditionalFormatting sqref="Q685:Q687">
    <cfRule type="cellIs" dxfId="205" priority="205" stopIfTrue="1" operator="equal">
      <formula>"Fail"</formula>
    </cfRule>
    <cfRule type="cellIs" dxfId="204" priority="206" stopIfTrue="1" operator="equal">
      <formula>"Pass"</formula>
    </cfRule>
  </conditionalFormatting>
  <conditionalFormatting sqref="Q685:Q687">
    <cfRule type="cellIs" dxfId="203" priority="203" stopIfTrue="1" operator="equal">
      <formula>"Fail"</formula>
    </cfRule>
    <cfRule type="cellIs" dxfId="202" priority="204" stopIfTrue="1" operator="equal">
      <formula>"Pass"</formula>
    </cfRule>
  </conditionalFormatting>
  <conditionalFormatting sqref="Q685:Q687">
    <cfRule type="cellIs" dxfId="201" priority="201" stopIfTrue="1" operator="equal">
      <formula>"Fail"</formula>
    </cfRule>
    <cfRule type="cellIs" dxfId="200" priority="202" stopIfTrue="1" operator="equal">
      <formula>"Pass"</formula>
    </cfRule>
  </conditionalFormatting>
  <conditionalFormatting sqref="Q10:Q483">
    <cfRule type="cellIs" dxfId="199" priority="199" stopIfTrue="1" operator="equal">
      <formula>"Fail"</formula>
    </cfRule>
    <cfRule type="cellIs" dxfId="198" priority="200" stopIfTrue="1" operator="equal">
      <formula>"Pass"</formula>
    </cfRule>
  </conditionalFormatting>
  <conditionalFormatting sqref="Q484:Q486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7:Q489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90:Q492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93:Q495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6:Q498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9:Q501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502:Q504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5:Q507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8:Q510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11:Q513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14:Q516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7:Q519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20:Q522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23:Q525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6:Q528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9:Q531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32:Q534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5:Q537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8:Q540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41:Q543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5:Q537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44:Q546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7:Q549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50:Q552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53:Q555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6:Q558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9:Q561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6:Q558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9:Q561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9:Q561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9:Q618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9:Q618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5:Q567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8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74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9:Q621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9:Q621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22:Q624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22:Q624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5:Q627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5:Q627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8:Q630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8:Q630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31:Q633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31:Q633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34:Q636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34:Q636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7:Q639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7:Q639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40:Q642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40:Q642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43:Q645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43:Q645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6:Q648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6:Q648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9:Q651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9:Q651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52:Q654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52:Q654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5:Q657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5:Q657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8:Q660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8:Q660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61:Q663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61:Q663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64:Q666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64:Q666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7:Q669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7:Q669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70:Q672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70:Q672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73:Q675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73:Q675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6:Q678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6:Q678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9:Q681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9:Q681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9:Q681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9:Q681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82:Q684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82:Q684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82:Q684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82:Q684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5:Q687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5:Q687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5:Q687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5:Q687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82:Q68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82:Q68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82:Q68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82:Q684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5:Q68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5:Q68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5:Q68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5:Q687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5:Q687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5:Q687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5:Q687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5:Q687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59"/>
  <sheetViews>
    <sheetView workbookViewId="0">
      <selection activeCell="J16" sqref="J16"/>
    </sheetView>
  </sheetViews>
  <sheetFormatPr defaultRowHeight="15.75"/>
  <cols>
    <col min="1" max="1" width="10.125" bestFit="1" customWidth="1"/>
    <col min="6" max="6" width="14" bestFit="1" customWidth="1"/>
    <col min="7" max="7" width="30.875" customWidth="1"/>
    <col min="8" max="8" width="29" bestFit="1" customWidth="1"/>
  </cols>
  <sheetData>
    <row r="1" spans="1:2">
      <c r="A1" s="61"/>
      <c r="B1" s="61"/>
    </row>
    <row r="2" spans="1:2">
      <c r="A2" s="64"/>
    </row>
    <row r="3" spans="1:2">
      <c r="A3" s="64"/>
    </row>
    <row r="4" spans="1:2">
      <c r="A4" s="64"/>
    </row>
    <row r="5" spans="1:2">
      <c r="A5" s="64"/>
    </row>
    <row r="6" spans="1:2">
      <c r="A6" s="64"/>
    </row>
    <row r="7" spans="1:2">
      <c r="A7" s="64"/>
    </row>
    <row r="8" spans="1:2">
      <c r="A8" s="64"/>
    </row>
    <row r="9" spans="1:2">
      <c r="A9" s="64"/>
    </row>
    <row r="10" spans="1:2">
      <c r="A10" s="64"/>
    </row>
    <row r="11" spans="1:2">
      <c r="A11" s="64"/>
    </row>
    <row r="12" spans="1:2">
      <c r="A12" s="64"/>
    </row>
    <row r="13" spans="1:2">
      <c r="A13" s="64"/>
    </row>
    <row r="14" spans="1:2">
      <c r="A14" s="64"/>
    </row>
    <row r="15" spans="1:2">
      <c r="A15" s="64"/>
    </row>
    <row r="16" spans="1:2">
      <c r="A16" s="64"/>
    </row>
    <row r="17" spans="1:1">
      <c r="A17" s="64"/>
    </row>
    <row r="18" spans="1:1">
      <c r="A18" s="64"/>
    </row>
    <row r="19" spans="1:1">
      <c r="A19" s="64"/>
    </row>
    <row r="20" spans="1:1">
      <c r="A20" s="64"/>
    </row>
    <row r="21" spans="1:1">
      <c r="A21" s="64"/>
    </row>
    <row r="22" spans="1:1">
      <c r="A22" s="64"/>
    </row>
    <row r="23" spans="1:1">
      <c r="A23" s="64"/>
    </row>
    <row r="24" spans="1:1">
      <c r="A24" s="64"/>
    </row>
    <row r="25" spans="1:1">
      <c r="A25" s="64"/>
    </row>
    <row r="26" spans="1:1">
      <c r="A26" s="64"/>
    </row>
    <row r="27" spans="1:1">
      <c r="A27" s="64"/>
    </row>
    <row r="28" spans="1:1">
      <c r="A28" s="64"/>
    </row>
    <row r="29" spans="1:1">
      <c r="A29" s="64"/>
    </row>
    <row r="30" spans="1:1">
      <c r="A30" s="64"/>
    </row>
    <row r="31" spans="1:1">
      <c r="A31" s="64"/>
    </row>
    <row r="32" spans="1:1">
      <c r="A32" s="64"/>
    </row>
    <row r="33" spans="1:1">
      <c r="A33" s="64"/>
    </row>
    <row r="34" spans="1:1">
      <c r="A34" s="64"/>
    </row>
    <row r="35" spans="1:1">
      <c r="A35" s="64"/>
    </row>
    <row r="36" spans="1:1">
      <c r="A36" s="64"/>
    </row>
    <row r="37" spans="1:1">
      <c r="A37" s="64"/>
    </row>
    <row r="38" spans="1:1">
      <c r="A38" s="64"/>
    </row>
    <row r="39" spans="1:1">
      <c r="A39" s="64"/>
    </row>
    <row r="40" spans="1:1">
      <c r="A40" s="64"/>
    </row>
    <row r="41" spans="1:1">
      <c r="A41" s="64"/>
    </row>
    <row r="42" spans="1:1">
      <c r="A42" s="64"/>
    </row>
    <row r="43" spans="1:1">
      <c r="A43" s="64"/>
    </row>
    <row r="44" spans="1:1">
      <c r="A44" s="64"/>
    </row>
    <row r="45" spans="1:1">
      <c r="A45" s="64"/>
    </row>
    <row r="46" spans="1:1">
      <c r="A46" s="64"/>
    </row>
    <row r="47" spans="1:1">
      <c r="A47" s="64"/>
    </row>
    <row r="48" spans="1:1">
      <c r="A48" s="64"/>
    </row>
    <row r="49" spans="1:1">
      <c r="A49" s="64"/>
    </row>
    <row r="50" spans="1:1">
      <c r="A50" s="64"/>
    </row>
    <row r="51" spans="1:1">
      <c r="A51" s="64"/>
    </row>
    <row r="52" spans="1:1">
      <c r="A52" s="64"/>
    </row>
    <row r="53" spans="1:1">
      <c r="A53" s="64"/>
    </row>
    <row r="54" spans="1:1">
      <c r="A54" s="64"/>
    </row>
    <row r="55" spans="1:1">
      <c r="A55" s="64"/>
    </row>
    <row r="56" spans="1:1">
      <c r="A56" s="64"/>
    </row>
    <row r="57" spans="1:1">
      <c r="A57" s="64"/>
    </row>
    <row r="58" spans="1:1">
      <c r="A58" s="64"/>
    </row>
    <row r="59" spans="1:1">
      <c r="A59" s="64"/>
    </row>
    <row r="60" spans="1:1">
      <c r="A60" s="64"/>
    </row>
    <row r="61" spans="1:1">
      <c r="A61" s="64"/>
    </row>
    <row r="62" spans="1:1">
      <c r="A62" s="64"/>
    </row>
    <row r="63" spans="1:1">
      <c r="A63" s="64"/>
    </row>
    <row r="64" spans="1:1">
      <c r="A64" s="64"/>
    </row>
    <row r="65" spans="1:1">
      <c r="A65" s="64"/>
    </row>
    <row r="66" spans="1:1">
      <c r="A66" s="64"/>
    </row>
    <row r="67" spans="1:1">
      <c r="A67" s="64"/>
    </row>
    <row r="68" spans="1:1">
      <c r="A68" s="64"/>
    </row>
    <row r="69" spans="1:1">
      <c r="A69" s="64"/>
    </row>
    <row r="70" spans="1:1">
      <c r="A70" s="64"/>
    </row>
    <row r="71" spans="1:1">
      <c r="A71" s="64"/>
    </row>
    <row r="72" spans="1:1">
      <c r="A72" s="64"/>
    </row>
    <row r="73" spans="1:1">
      <c r="A73" s="64"/>
    </row>
    <row r="74" spans="1:1">
      <c r="A74" s="64"/>
    </row>
    <row r="75" spans="1:1">
      <c r="A75" s="64"/>
    </row>
    <row r="76" spans="1:1">
      <c r="A76" s="64"/>
    </row>
    <row r="77" spans="1:1">
      <c r="A77" s="64"/>
    </row>
    <row r="78" spans="1:1">
      <c r="A78" s="64"/>
    </row>
    <row r="79" spans="1:1">
      <c r="A79" s="64"/>
    </row>
    <row r="80" spans="1:1">
      <c r="A80" s="64"/>
    </row>
    <row r="81" spans="1:1">
      <c r="A81" s="64"/>
    </row>
    <row r="82" spans="1:1">
      <c r="A82" s="64"/>
    </row>
    <row r="83" spans="1:1">
      <c r="A83" s="64"/>
    </row>
    <row r="84" spans="1:1">
      <c r="A84" s="64"/>
    </row>
    <row r="85" spans="1:1">
      <c r="A85" s="64"/>
    </row>
    <row r="86" spans="1:1">
      <c r="A86" s="64"/>
    </row>
    <row r="87" spans="1:1">
      <c r="A87" s="64"/>
    </row>
    <row r="88" spans="1:1">
      <c r="A88" s="64"/>
    </row>
    <row r="89" spans="1:1">
      <c r="A89" s="64"/>
    </row>
    <row r="90" spans="1:1">
      <c r="A90" s="64"/>
    </row>
    <row r="91" spans="1:1">
      <c r="A91" s="64"/>
    </row>
    <row r="92" spans="1:1">
      <c r="A92" s="64"/>
    </row>
    <row r="93" spans="1:1">
      <c r="A93" s="64"/>
    </row>
    <row r="94" spans="1:1">
      <c r="A94" s="64"/>
    </row>
    <row r="95" spans="1:1">
      <c r="A95" s="64"/>
    </row>
    <row r="96" spans="1:1">
      <c r="A96" s="64"/>
    </row>
    <row r="97" spans="1:1">
      <c r="A97" s="64"/>
    </row>
    <row r="98" spans="1:1">
      <c r="A98" s="64"/>
    </row>
    <row r="99" spans="1:1">
      <c r="A99" s="64"/>
    </row>
    <row r="100" spans="1:1">
      <c r="A100" s="64"/>
    </row>
    <row r="101" spans="1:1">
      <c r="A101" s="64"/>
    </row>
    <row r="102" spans="1:1">
      <c r="A102" s="64"/>
    </row>
    <row r="103" spans="1:1">
      <c r="A103" s="64"/>
    </row>
    <row r="104" spans="1:1">
      <c r="A104" s="64"/>
    </row>
    <row r="105" spans="1:1">
      <c r="A105" s="64"/>
    </row>
    <row r="106" spans="1:1">
      <c r="A106" s="64"/>
    </row>
    <row r="107" spans="1:1">
      <c r="A107" s="64"/>
    </row>
    <row r="108" spans="1:1">
      <c r="A108" s="64"/>
    </row>
    <row r="109" spans="1:1">
      <c r="A109" s="64"/>
    </row>
    <row r="110" spans="1:1">
      <c r="A110" s="64"/>
    </row>
    <row r="111" spans="1:1">
      <c r="A111" s="64"/>
    </row>
    <row r="112" spans="1:1">
      <c r="A112" s="64"/>
    </row>
    <row r="113" spans="1:1">
      <c r="A113" s="64"/>
    </row>
    <row r="114" spans="1:1">
      <c r="A114" s="64"/>
    </row>
    <row r="115" spans="1:1">
      <c r="A115" s="64"/>
    </row>
    <row r="116" spans="1:1">
      <c r="A116" s="64"/>
    </row>
    <row r="117" spans="1:1">
      <c r="A117" s="64"/>
    </row>
    <row r="118" spans="1:1">
      <c r="A118" s="64"/>
    </row>
    <row r="119" spans="1:1">
      <c r="A119" s="64"/>
    </row>
    <row r="120" spans="1:1">
      <c r="A120" s="64"/>
    </row>
    <row r="121" spans="1:1">
      <c r="A121" s="64"/>
    </row>
    <row r="122" spans="1:1">
      <c r="A122" s="64"/>
    </row>
    <row r="123" spans="1:1">
      <c r="A123" s="64"/>
    </row>
    <row r="124" spans="1:1">
      <c r="A124" s="64"/>
    </row>
    <row r="125" spans="1:1">
      <c r="A125" s="64"/>
    </row>
    <row r="126" spans="1:1">
      <c r="A126" s="64"/>
    </row>
    <row r="127" spans="1:1">
      <c r="A127" s="64"/>
    </row>
    <row r="128" spans="1:1">
      <c r="A128" s="64"/>
    </row>
    <row r="129" spans="1:1">
      <c r="A129" s="64"/>
    </row>
    <row r="130" spans="1:1">
      <c r="A130" s="64"/>
    </row>
    <row r="131" spans="1:1">
      <c r="A131" s="64"/>
    </row>
    <row r="132" spans="1:1">
      <c r="A132" s="64"/>
    </row>
    <row r="133" spans="1:1">
      <c r="A133" s="64"/>
    </row>
    <row r="134" spans="1:1">
      <c r="A134" s="64"/>
    </row>
    <row r="135" spans="1:1">
      <c r="A135" s="64"/>
    </row>
    <row r="136" spans="1:1">
      <c r="A136" s="64"/>
    </row>
    <row r="137" spans="1:1">
      <c r="A137" s="64"/>
    </row>
    <row r="138" spans="1:1">
      <c r="A138" s="64"/>
    </row>
    <row r="139" spans="1:1">
      <c r="A139" s="64"/>
    </row>
    <row r="140" spans="1:1">
      <c r="A140" s="64"/>
    </row>
    <row r="141" spans="1:1">
      <c r="A141" s="64"/>
    </row>
    <row r="142" spans="1:1">
      <c r="A142" s="64"/>
    </row>
    <row r="143" spans="1:1">
      <c r="A143" s="64"/>
    </row>
    <row r="144" spans="1:1">
      <c r="A144" s="64"/>
    </row>
    <row r="145" spans="1:1">
      <c r="A145" s="64"/>
    </row>
    <row r="146" spans="1:1">
      <c r="A146" s="64"/>
    </row>
    <row r="147" spans="1:1">
      <c r="A147" s="64"/>
    </row>
    <row r="148" spans="1:1">
      <c r="A148" s="64"/>
    </row>
    <row r="149" spans="1:1">
      <c r="A149" s="64"/>
    </row>
    <row r="150" spans="1:1">
      <c r="A150" s="64"/>
    </row>
    <row r="151" spans="1:1">
      <c r="A151" s="64"/>
    </row>
    <row r="152" spans="1:1">
      <c r="A152" s="64"/>
    </row>
    <row r="153" spans="1:1">
      <c r="A153" s="64"/>
    </row>
    <row r="154" spans="1:1">
      <c r="A154" s="64"/>
    </row>
    <row r="155" spans="1:1">
      <c r="A155" s="64"/>
    </row>
    <row r="156" spans="1:1">
      <c r="A156" s="64"/>
    </row>
    <row r="157" spans="1:1">
      <c r="A157" s="64"/>
    </row>
    <row r="158" spans="1:1">
      <c r="A158" s="64"/>
    </row>
    <row r="159" spans="1:1">
      <c r="A159" s="6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"/>
  <sheetViews>
    <sheetView workbookViewId="0">
      <selection sqref="A1:XFD1048576"/>
    </sheetView>
  </sheetViews>
  <sheetFormatPr defaultColWidth="14.5" defaultRowHeight="15.75"/>
  <cols>
    <col min="1" max="1" width="11.75" style="61" customWidth="1"/>
    <col min="2" max="2" width="14.5" style="61"/>
    <col min="3" max="3" width="9.125" style="61" customWidth="1"/>
    <col min="4" max="16384" width="14.5" style="61"/>
  </cols>
  <sheetData>
    <row r="2" spans="1:1">
      <c r="A2" s="6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1" sqref="E1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2019-01-11T16:41:08Z</dcterms:modified>
</cp:coreProperties>
</file>